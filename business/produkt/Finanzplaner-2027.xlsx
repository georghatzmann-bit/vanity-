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Dashboard" sheetId="2" state="visible" r:id="rId4"/>
    <sheet name="Buchungen" sheetId="3" state="visible" r:id="rId5"/>
    <sheet name="Kategorien" sheetId="4" state="visible" r:id="rId6"/>
    <sheet name="Monatsübersicht" sheetId="5" state="visible" r:id="rId7"/>
    <sheet name="Sparziele" sheetId="6" state="visible" r:id="rId8"/>
    <sheet name="Schulden" sheetId="7" state="visible" r:id="rId9"/>
  </sheets>
  <definedNames>
    <definedName function="false" hidden="true" localSheetId="2" name="_xlnm._FilterDatabase" vbProcedure="false">Buchungen!$A$4:$E$1004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<sst xmlns="http://schemas.openxmlformats.org/spreadsheetml/2006/main" count="184" uniqueCount="132">
  <si>
    <t xml:space="preserve">Finanzplaner 2027</t>
  </si>
  <si>
    <t xml:space="preserve">Haushaltsbuch · Budget · Sparziele · Schulden-Plan</t>
  </si>
  <si>
    <t xml:space="preserve">Einstellungen</t>
  </si>
  <si>
    <t xml:space="preserve">Jahr</t>
  </si>
  <si>
    <t xml:space="preserve">Kontostand am 01.01. (€)</t>
  </si>
  <si>
    <t xml:space="preserve">Legende</t>
  </si>
  <si>
    <t xml:space="preserve">Gelbe Felder</t>
  </si>
  <si>
    <t xml:space="preserve">Hier trägst du etwas ein.</t>
  </si>
  <si>
    <t xml:space="preserve">Weiße Felder</t>
  </si>
  <si>
    <t xml:space="preserve">Rechnen automatisch – bitte nicht überschreiben.</t>
  </si>
  <si>
    <t xml:space="preserve">So legst du los (10 Minuten)</t>
  </si>
  <si>
    <t xml:space="preserve">1. Einstellungen</t>
  </si>
  <si>
    <t xml:space="preserve">Trage oben das Jahr und deinen Kontostand am 1. Januar ein.</t>
  </si>
  <si>
    <t xml:space="preserve">2. Kategorien</t>
  </si>
  <si>
    <t xml:space="preserve">Passe die Kategorien an und lege für jede ein Monatsbudget fest.</t>
  </si>
  <si>
    <t xml:space="preserve">3. Buchungen</t>
  </si>
  <si>
    <t xml:space="preserve">Trage jede Einnahme und Ausgabe ein: Datum, Kategorie (Auswahlliste), Betrag. Beträge immer positiv – die Kategorie entscheidet, ob Einnahme oder Ausgabe.</t>
  </si>
  <si>
    <t xml:space="preserve">4. Monatsübersicht</t>
  </si>
  <si>
    <t xml:space="preserve">Zeigt automatisch jeden Monat pro Kategorie. Rot = Monatsbudget überschritten.</t>
  </si>
  <si>
    <t xml:space="preserve">5. Dashboard</t>
  </si>
  <si>
    <t xml:space="preserve">Dein Jahr auf einen Blick: Einnahmen, Ausgaben, Sparquote, größte Ausgaben.</t>
  </si>
  <si>
    <t xml:space="preserve">6. Sparziele &amp; Schulden</t>
  </si>
  <si>
    <t xml:space="preserve">Rechnet aus, wann du dein Ziel erreichst bzw. schuldenfrei bist.</t>
  </si>
  <si>
    <t xml:space="preserve">Tipp</t>
  </si>
  <si>
    <t xml:space="preserve">10 Minuten pro Woche reichen. Trag am besten jeden Sonntag die Buchungen der Woche nach – nach einem Monat weißt du genau, wohin dein Geld fließt.</t>
  </si>
  <si>
    <t xml:space="preserve">Wichtig</t>
  </si>
  <si>
    <t xml:space="preserve">Wenn du eine Kategorie umbenennst, ändere sie auch in deinen bisherigen Buchungen – sonst werden diese nicht mehr mitgezählt (Spalte „Art“ zeigt dann „unbekannte Kategorie“).</t>
  </si>
  <si>
    <t xml:space="preserve">Funktioniert in Microsoft Excel, Google Sheets und LibreOffice.</t>
  </si>
  <si>
    <t xml:space="preserve">Alles hier rechnet automatisch aus deinen Buchungen.</t>
  </si>
  <si>
    <t xml:space="preserve">EINNAHMEN</t>
  </si>
  <si>
    <t xml:space="preserve">AUSGABEN</t>
  </si>
  <si>
    <t xml:space="preserve">ÜBERSCHUSS</t>
  </si>
  <si>
    <t xml:space="preserve">SPARQUOTE</t>
  </si>
  <si>
    <t xml:space="preserve">KONTOSTAND AKTUELL</t>
  </si>
  <si>
    <t xml:space="preserve">Ø EINNAHMEN / MONAT</t>
  </si>
  <si>
    <t xml:space="preserve">Ø AUSGABEN / MONAT</t>
  </si>
  <si>
    <t xml:space="preserve">Ø ÜBERSCHUSS / MONAT</t>
  </si>
  <si>
    <t xml:space="preserve">MONATE ERFASST</t>
  </si>
  <si>
    <t xml:space="preserve">KATEGORIEN ÜBER BUDGET</t>
  </si>
  <si>
    <t xml:space="preserve">Monatsverlauf</t>
  </si>
  <si>
    <t xml:space="preserve">Monat</t>
  </si>
  <si>
    <t xml:space="preserve">Einnahmen</t>
  </si>
  <si>
    <t xml:space="preserve">Ausgaben</t>
  </si>
  <si>
    <t xml:space="preserve">Überschuss</t>
  </si>
  <si>
    <t xml:space="preserve">Jan</t>
  </si>
  <si>
    <t xml:space="preserve">Feb</t>
  </si>
  <si>
    <t xml:space="preserve">Mär</t>
  </si>
  <si>
    <t xml:space="preserve">Apr</t>
  </si>
  <si>
    <t xml:space="preserve">Mai</t>
  </si>
  <si>
    <t xml:space="preserve">Jun</t>
  </si>
  <si>
    <t xml:space="preserve">Jul</t>
  </si>
  <si>
    <t xml:space="preserve">Aug</t>
  </si>
  <si>
    <t xml:space="preserve">Sep</t>
  </si>
  <si>
    <t xml:space="preserve">Okt</t>
  </si>
  <si>
    <t xml:space="preserve">Nov</t>
  </si>
  <si>
    <t xml:space="preserve">Dez</t>
  </si>
  <si>
    <t xml:space="preserve">Deine größten Ausgaben</t>
  </si>
  <si>
    <t xml:space="preserve">Kategorie</t>
  </si>
  <si>
    <t xml:space="preserve">Summe</t>
  </si>
  <si>
    <t xml:space="preserve">Anteil</t>
  </si>
  <si>
    <t xml:space="preserve">Buchungen</t>
  </si>
  <si>
    <t xml:space="preserve">Jede Einnahme und Ausgabe in eine Zeile. Beträge immer positiv – die Kategorie bestimmt, ob es eine Einnahme oder Ausgabe ist.</t>
  </si>
  <si>
    <t xml:space="preserve">Datum</t>
  </si>
  <si>
    <t xml:space="preserve">Beschreibung</t>
  </si>
  <si>
    <t xml:space="preserve">Betrag (€)</t>
  </si>
  <si>
    <t xml:space="preserve">Art (automatisch)</t>
  </si>
  <si>
    <t xml:space="preserve">Gehalt / Lohn</t>
  </si>
  <si>
    <t xml:space="preserve">Beispiel – diese Zeile einfach überschreiben</t>
  </si>
  <si>
    <t xml:space="preserve">Kategorien &amp; Monatsbudget</t>
  </si>
  <si>
    <t xml:space="preserve">Namen frei änderbar. Leere Zeilen kannst du für eigene Kategorien nutzen.</t>
  </si>
  <si>
    <t xml:space="preserve">Art</t>
  </si>
  <si>
    <t xml:space="preserve">Monatsbudget (€)</t>
  </si>
  <si>
    <t xml:space="preserve">Hinweise</t>
  </si>
  <si>
    <t xml:space="preserve">Einnahme</t>
  </si>
  <si>
    <t xml:space="preserve">Zeilen 5–12: Einnahmen (max. 8 Kategorien)</t>
  </si>
  <si>
    <t xml:space="preserve">Nebenjob</t>
  </si>
  <si>
    <t xml:space="preserve">Zeilen 13–37: Ausgaben (max. 25 Kategorien)</t>
  </si>
  <si>
    <t xml:space="preserve">Verkäufe (Kleinanzeigen etc.)</t>
  </si>
  <si>
    <t xml:space="preserve">Das Monatsbudget ist dein Plan. Die Monatsübersicht färbt Monate rot,</t>
  </si>
  <si>
    <t xml:space="preserve">Sonstige Einnahmen</t>
  </si>
  <si>
    <t xml:space="preserve">in denen du eine Ausgaben-Kategorie überzogen hast.</t>
  </si>
  <si>
    <t xml:space="preserve">Faustregel 50/30/20: 50 % Fixkosten, 30 % Freizeit &amp; Wünsche, 20 % Sparen.</t>
  </si>
  <si>
    <t xml:space="preserve">Miete &amp; Nebenkosten</t>
  </si>
  <si>
    <t xml:space="preserve">Ausgabe</t>
  </si>
  <si>
    <t xml:space="preserve">Strom &amp; Internet</t>
  </si>
  <si>
    <t xml:space="preserve">Lebensmittel</t>
  </si>
  <si>
    <t xml:space="preserve">Handy &amp; Abos</t>
  </si>
  <si>
    <t xml:space="preserve">Mobilität (Auto/ÖPNV)</t>
  </si>
  <si>
    <t xml:space="preserve">Versicherungen</t>
  </si>
  <si>
    <t xml:space="preserve">Freizeit &amp; Ausgehen</t>
  </si>
  <si>
    <t xml:space="preserve">Kleidung</t>
  </si>
  <si>
    <t xml:space="preserve">Gesundheit &amp; Drogerie</t>
  </si>
  <si>
    <t xml:space="preserve">Geschenke</t>
  </si>
  <si>
    <t xml:space="preserve">Urlaub</t>
  </si>
  <si>
    <t xml:space="preserve">Sonstiges</t>
  </si>
  <si>
    <t xml:space="preserve">Rechnet automatisch aus deinen Buchungen. Rot hinterlegt = Monatsbudget überschritten.</t>
  </si>
  <si>
    <t xml:space="preserve">Budget / Monat</t>
  </si>
  <si>
    <t xml:space="preserve">Ø / Monat</t>
  </si>
  <si>
    <t xml:space="preserve">Budget bisher</t>
  </si>
  <si>
    <t xml:space="preserve">Abweichung
(+ = gut)</t>
  </si>
  <si>
    <t xml:space="preserve">Summe Einnahmen</t>
  </si>
  <si>
    <t xml:space="preserve">Summe Ausgaben</t>
  </si>
  <si>
    <t xml:space="preserve">Überschuss (Einnahmen − Ausgaben)</t>
  </si>
  <si>
    <t xml:space="preserve">Sparquote</t>
  </si>
  <si>
    <t xml:space="preserve">Kontostand am Monatsende</t>
  </si>
  <si>
    <t xml:space="preserve">Monate mit Buchungen</t>
  </si>
  <si>
    <t xml:space="preserve">„Ø / Monat“ und „Budget bisher“ beziehen sich auf die Monate mit Buchungen.</t>
  </si>
  <si>
    <t xml:space="preserve">Sparziele</t>
  </si>
  <si>
    <t xml:space="preserve">Trag dein Ziel, den Betrag und deine monatliche Sparrate ein – der Rest rechnet sich von selbst.</t>
  </si>
  <si>
    <t xml:space="preserve">Ziel</t>
  </si>
  <si>
    <t xml:space="preserve">Zielbetrag (€)</t>
  </si>
  <si>
    <t xml:space="preserve">Schon gespart (€)</t>
  </si>
  <si>
    <t xml:space="preserve">Sparrate / Monat (€)</t>
  </si>
  <si>
    <t xml:space="preserve">Fehlt noch (€)</t>
  </si>
  <si>
    <t xml:space="preserve">Fortschritt</t>
  </si>
  <si>
    <t xml:space="preserve">Monate bis Ziel</t>
  </si>
  <si>
    <t xml:space="preserve">Ziel erreicht ca.</t>
  </si>
  <si>
    <t xml:space="preserve">Notgroschen (Beispiel – überschreiben)</t>
  </si>
  <si>
    <t xml:space="preserve">Tipp: Bau zuerst einen Notgroschen von etwa 3 Monatsausgaben auf. Richte die Sparrate als Dauerauftrag direkt nach dem Gehaltseingang ein.</t>
  </si>
  <si>
    <t xml:space="preserve">Schulden-Plan</t>
  </si>
  <si>
    <t xml:space="preserve">Trag Restbetrag, Zinssatz und Monatsrate ein – du siehst sofort, wann du schuldenfrei bist und wie viel Zinsen du zahlst.</t>
  </si>
  <si>
    <t xml:space="preserve">Schuld</t>
  </si>
  <si>
    <t xml:space="preserve">Restbetrag (€)</t>
  </si>
  <si>
    <t xml:space="preserve">Zinssatz p.a.</t>
  </si>
  <si>
    <t xml:space="preserve">Monatsrate (€)</t>
  </si>
  <si>
    <t xml:space="preserve">Monate bis schuldenfrei</t>
  </si>
  <si>
    <t xml:space="preserve">Schuldenfrei ca.</t>
  </si>
  <si>
    <t xml:space="preserve">Zinsen gesamt ca. (€)</t>
  </si>
  <si>
    <t xml:space="preserve">Dispo (Beispiel – überschreiben)</t>
  </si>
  <si>
    <t xml:space="preserve">(längste Laufzeit)</t>
  </si>
  <si>
    <t xml:space="preserve">Lawinen-Methode: Alle Mindestraten zahlen und jeden zusätzlichen Euro in die Schuld mit dem höchsten Zinssatz stecken – das spart am meisten Zinsen.</t>
  </si>
  <si>
    <t xml:space="preserve">Die Berechnung geht von gleichbleibender Rate und gleichbleibendem Zins aus und ist eine Schätzung – maßgeblich ist dein Kreditvertrag.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</si>
</sst>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&quot; €&quot;;\-#,##0.00&quot; €&quot;;\-"/>
    <numFmt numFmtId="166" formatCode="#,##0&quot; €&quot;;\-#,##0&quot; €&quot;;\-"/>
    <numFmt numFmtId="167" formatCode="0.0%;\-0.0%;\-"/>
    <numFmt numFmtId="168" formatCode="0"/>
    <numFmt numFmtId="169" formatCode="#,##0&quot; €&quot;"/>
    <numFmt numFmtId="170" formatCode="dd\.mm\.yyyy"/>
    <numFmt numFmtId="171" formatCode="General"/>
    <numFmt numFmtId="172" formatCode="0%"/>
    <numFmt numFmtId="173" formatCode="mmm\ yyyy"/>
    <numFmt numFmtId="174" formatCode="0.00%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111827"/>
      <name val="Arial"/>
      <family val="0"/>
      <charset val="1"/>
    </font>
    <font>
      <b val="true"/>
      <sz val="24"/>
      <color rgb="FF1F5F5B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12"/>
      <color rgb="FF1F5F5B"/>
      <name val="Arial"/>
      <family val="0"/>
      <charset val="1"/>
    </font>
    <font>
      <sz val="11"/>
      <color rgb="FF111827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b val="true"/>
      <sz val="10"/>
      <color rgb="FF1F5F5B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20"/>
      <color rgb="FF1F5F5B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6"/>
      <color rgb="FF2E7D32"/>
      <name val="Arial"/>
      <family val="0"/>
      <charset val="1"/>
    </font>
    <font>
      <b val="true"/>
      <sz val="16"/>
      <color rgb="FFB42318"/>
      <name val="Arial"/>
      <family val="0"/>
      <charset val="1"/>
    </font>
    <font>
      <b val="true"/>
      <sz val="16"/>
      <color rgb="FF1F5F5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8"/>
      <color rgb="FF1F5F5B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9"/>
      <color rgb="FFB42318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B42318"/>
      <name val="Arial"/>
      <family val="0"/>
      <charset val="1"/>
    </font>
    <font>
      <i val="true"/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7D6"/>
        <bgColor rgb="FFFDECEA"/>
      </patternFill>
    </fill>
    <fill>
      <patternFill patternType="solid">
        <fgColor rgb="FFE3EFEE"/>
        <bgColor rgb="FFE8F5E9"/>
      </patternFill>
    </fill>
    <fill>
      <patternFill patternType="solid">
        <fgColor rgb="FF1F5F5B"/>
        <bgColor rgb="FF2E7D32"/>
      </patternFill>
    </fill>
    <fill>
      <patternFill patternType="solid">
        <fgColor rgb="FFE8F5E9"/>
        <bgColor rgb="FFE3EFEE"/>
      </patternFill>
    </fill>
    <fill>
      <patternFill patternType="solid">
        <fgColor rgb="FFFDECEA"/>
        <bgColor rgb="FFFFF7D6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/>
      <right/>
      <top style="medium">
        <color rgb="FF2E7D32"/>
      </top>
      <bottom style="thin">
        <color rgb="FFD1D5DB"/>
      </bottom>
      <diagonal/>
    </border>
    <border diagonalUp="false" diagonalDown="false">
      <left/>
      <right/>
      <top style="medium">
        <color rgb="FFB42318"/>
      </top>
      <bottom style="thin">
        <color rgb="FFD1D5DB"/>
      </bottom>
      <diagonal/>
    </border>
    <border diagonalUp="false" diagonalDown="false">
      <left/>
      <right/>
      <top style="medium">
        <color rgb="FF1F5F5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name val="Arial"/>
        <charset val="1"/>
        <family val="0"/>
        <b val="1"/>
        <color rgb="FFB42318"/>
      </font>
    </dxf>
    <dxf>
      <fill>
        <patternFill patternType="solid">
          <fgColor rgb="FF1F5F5B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ont>
        <name val="Arial"/>
        <charset val="1"/>
        <family val="0"/>
        <b val="1"/>
        <color rgb="FF2E7D32"/>
      </font>
    </dxf>
    <dxf>
      <font>
        <name val="Arial"/>
        <charset val="1"/>
        <family val="0"/>
        <b val="1"/>
        <color rgb="FFFFFFFF"/>
      </font>
      <fill>
        <patternFill>
          <bgColor rgb="FFB42318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8C9C4"/>
        </patternFill>
      </fill>
    </dxf>
    <dxf>
      <font>
        <name val="Arial"/>
        <charset val="1"/>
        <family val="0"/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F5B"/>
      <rgbColor rgb="FFD9D9D9"/>
      <rgbColor rgb="FF878787"/>
      <rgbColor rgb="FF9999FF"/>
      <rgbColor rgb="FF993366"/>
      <rgbColor rgb="FFFFF7D6"/>
      <rgbColor rgb="FFE3EFE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DECEA"/>
      <rgbColor rgb="FF8FB9B5"/>
      <rgbColor rgb="FFFF99CC"/>
      <rgbColor rgb="FFCC99FF"/>
      <rgbColor rgb="FFF8C9C4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2E7D32"/>
      <rgbColor rgb="FF111827"/>
      <rgbColor rgb="FF333300"/>
      <rgbColor rgb="FFB423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Einnahmen vs. Ausgaben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Dashboard!C12</c:f>
              <c:strCache>
                <c:ptCount val="1"/>
                <c:pt idx="0">
                  <c:v>Einnahmen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2e7d32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Dashboard!$B$13:$B$24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Mär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Dashboard!$C$13:$C$24</c:f>
              <c:numCache>
                <c:formatCode>#,##0" €";\-#,##0" €";\-</c:formatCode>
                <c:ptCount val="12"/>
                <c:pt idx="0">
                  <c:v>2100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Dashboard!D12</c:f>
              <c:strCache>
                <c:ptCount val="1"/>
                <c:pt idx="0">
                  <c:v>Ausgaben</c:v>
                </c:pt>
              </c:strCache>
            </c:strRef>
          </c:tx>
          <c:spPr>
            <a:solidFill>
              <a:srgbClr val="b42318"/>
            </a:solidFill>
            <a:ln w="0">
              <a:solidFill>
                <a:srgbClr val="b4231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Dashboard!$B$13:$B$24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Mär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Dashboard!$D$13:$D$24</c:f>
              <c:numCache>
                <c:formatCode>#,##0" €";\-#,##0" €";\-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overlap val="0"/>
        <c:axId val="82384927"/>
        <c:axId val="28149114"/>
      </c:barChart>
      <c:catAx>
        <c:axId val="8238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49114"/>
        <c:crosses val="autoZero"/>
        <c:auto val="1"/>
        <c:lblAlgn val="ctr"/>
        <c:lblOffset val="100"/>
        <c:noMultiLvlLbl val="0"/>
      </c:catAx>
      <c:valAx>
        <c:axId val="28149114"/>
        <c:scaling>
          <c:orientation val="minMax"/>
        </c:scaling>
        <c:delete val="0"/>
        <c:axPos val="l"/>
        <c:numFmt formatCode="#,##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849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Top-Ausgaben nach Kategorie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1f5f5b"/>
            </a:solidFill>
            <a:ln w="0">
              <a:solidFill>
                <a:srgbClr val="1f5f5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Dashboard!$B$29:$B$36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Dashboard!$D$29:$D$36</c:f>
              <c:numCache>
                <c:formatCode>#,##0" €";\-#,##0" €";\-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50"/>
        <c:overlap val="0"/>
        <c:axId val="72365417"/>
        <c:axId val="61314696"/>
      </c:barChart>
      <c:catAx>
        <c:axId val="7236541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14696"/>
        <c:crosses val="autoZero"/>
        <c:auto val="1"/>
        <c:lblAlgn val="ctr"/>
        <c:lblOffset val="100"/>
        <c:noMultiLvlLbl val="0"/>
      </c:catAx>
      <c:valAx>
        <c:axId val="61314696"/>
        <c:scaling>
          <c:orientation val="minMax"/>
        </c:scaling>
        <c:delete val="0"/>
        <c:axPos val="l"/>
        <c:numFmt formatCode="#,##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654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10</xdr:row>
      <xdr:rowOff>0</xdr:rowOff>
    </xdr:from>
    <xdr:to>
      <xdr:col>12</xdr:col>
      <xdr:colOff>621720</xdr:colOff>
      <xdr:row>23</xdr:row>
      <xdr:rowOff>32760</xdr:rowOff>
    </xdr:to>
    <xdr:graphicFrame>
      <xdr:nvGraphicFramePr>
        <xdr:cNvPr id="0" name="Chart 1"/>
        <xdr:cNvGraphicFramePr/>
      </xdr:nvGraphicFramePr>
      <xdr:xfrm>
        <a:off x="4722480" y="263844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26</xdr:row>
      <xdr:rowOff>0</xdr:rowOff>
    </xdr:from>
    <xdr:to>
      <xdr:col>12</xdr:col>
      <xdr:colOff>621720</xdr:colOff>
      <xdr:row>39</xdr:row>
      <xdr:rowOff>32760</xdr:rowOff>
    </xdr:to>
    <xdr:graphicFrame>
      <xdr:nvGraphicFramePr>
        <xdr:cNvPr id="1" name="Chart 2"/>
        <xdr:cNvGraphicFramePr/>
      </xdr:nvGraphicFramePr>
      <xdr:xfrm>
        <a:off x="4722480" y="587700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F5B"/>
    <pageSetUpPr fitToPage="true"/>
  </sheetPr>
  <dimension ref="A1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78"/>
  </cols>
  <sheetData>
    <row r="1" customFormat="false" ht="39.75" hidden="false" customHeight="true" outlineLevel="0" collapsed="false">
      <c r="A1" s="1"/>
      <c r="B1" s="2" t="s">
        <v>0</v>
      </c>
      <c r="C1" s="1"/>
    </row>
    <row r="2" customFormat="false" ht="15" hidden="false" customHeight="false" outlineLevel="0" collapsed="false">
      <c r="A2" s="1"/>
      <c r="B2" s="3" t="s">
        <v>1</v>
      </c>
      <c r="C2" s="1"/>
    </row>
    <row r="3" customFormat="false" ht="15" hidden="false" customHeight="false" outlineLevel="0" collapsed="false">
      <c r="A3" s="1"/>
      <c r="B3" s="1"/>
      <c r="C3" s="1"/>
    </row>
    <row r="4" customFormat="false" ht="15" hidden="false" customHeight="false" outlineLevel="0" collapsed="false">
      <c r="A4" s="1"/>
      <c r="B4" s="4" t="s">
        <v>2</v>
      </c>
      <c r="C4" s="5"/>
    </row>
    <row r="5" customFormat="false" ht="15" hidden="false" customHeight="false" outlineLevel="0" collapsed="false">
      <c r="A5" s="1"/>
      <c r="B5" s="1"/>
      <c r="C5" s="1"/>
    </row>
    <row r="6" customFormat="false" ht="15" hidden="false" customHeight="false" outlineLevel="0" collapsed="false">
      <c r="A6" s="1"/>
      <c r="B6" s="6" t="s">
        <v>3</v>
      </c>
      <c r="C6" s="7" t="n">
        <v>2027</v>
      </c>
    </row>
    <row r="7" customFormat="false" ht="15" hidden="false" customHeight="false" outlineLevel="0" collapsed="false">
      <c r="A7" s="1"/>
      <c r="B7" s="6" t="s">
        <v>4</v>
      </c>
      <c r="C7" s="8" t="n">
        <v>0</v>
      </c>
    </row>
    <row r="8" customFormat="false" ht="15" hidden="false" customHeight="false" outlineLevel="0" collapsed="false">
      <c r="A8" s="1"/>
      <c r="B8" s="1"/>
      <c r="C8" s="1"/>
    </row>
    <row r="9" customFormat="false" ht="15" hidden="false" customHeight="false" outlineLevel="0" collapsed="false">
      <c r="A9" s="1"/>
      <c r="B9" s="4" t="s">
        <v>5</v>
      </c>
      <c r="C9" s="5"/>
    </row>
    <row r="10" customFormat="false" ht="15" hidden="false" customHeight="false" outlineLevel="0" collapsed="false">
      <c r="A10" s="1"/>
      <c r="B10" s="9" t="s">
        <v>6</v>
      </c>
      <c r="C10" s="1" t="s">
        <v>7</v>
      </c>
    </row>
    <row r="11" customFormat="false" ht="15" hidden="false" customHeight="false" outlineLevel="0" collapsed="false">
      <c r="A11" s="1"/>
      <c r="B11" s="10" t="s">
        <v>8</v>
      </c>
      <c r="C11" s="1" t="s">
        <v>9</v>
      </c>
    </row>
    <row r="12" customFormat="false" ht="15" hidden="false" customHeight="false" outlineLevel="0" collapsed="false">
      <c r="A12" s="1"/>
      <c r="B12" s="1"/>
      <c r="C12" s="1"/>
    </row>
    <row r="13" customFormat="false" ht="15" hidden="false" customHeight="false" outlineLevel="0" collapsed="false">
      <c r="A13" s="1"/>
      <c r="B13" s="4" t="s">
        <v>10</v>
      </c>
      <c r="C13" s="5"/>
    </row>
    <row r="14" customFormat="false" ht="15.75" hidden="false" customHeight="true" outlineLevel="0" collapsed="false">
      <c r="A14" s="1"/>
      <c r="B14" s="11" t="s">
        <v>11</v>
      </c>
      <c r="C14" s="12" t="s">
        <v>12</v>
      </c>
    </row>
    <row r="15" customFormat="false" ht="15.75" hidden="false" customHeight="true" outlineLevel="0" collapsed="false">
      <c r="A15" s="1"/>
      <c r="B15" s="11" t="s">
        <v>13</v>
      </c>
      <c r="C15" s="12" t="s">
        <v>14</v>
      </c>
    </row>
    <row r="16" customFormat="false" ht="27.75" hidden="false" customHeight="true" outlineLevel="0" collapsed="false">
      <c r="A16" s="1"/>
      <c r="B16" s="11" t="s">
        <v>15</v>
      </c>
      <c r="C16" s="12" t="s">
        <v>16</v>
      </c>
    </row>
    <row r="17" customFormat="false" ht="15.75" hidden="false" customHeight="true" outlineLevel="0" collapsed="false">
      <c r="A17" s="1"/>
      <c r="B17" s="11" t="s">
        <v>17</v>
      </c>
      <c r="C17" s="12" t="s">
        <v>18</v>
      </c>
    </row>
    <row r="18" customFormat="false" ht="15.75" hidden="false" customHeight="true" outlineLevel="0" collapsed="false">
      <c r="A18" s="1"/>
      <c r="B18" s="11" t="s">
        <v>19</v>
      </c>
      <c r="C18" s="12" t="s">
        <v>20</v>
      </c>
    </row>
    <row r="19" customFormat="false" ht="15.75" hidden="false" customHeight="true" outlineLevel="0" collapsed="false">
      <c r="A19" s="1"/>
      <c r="B19" s="11" t="s">
        <v>21</v>
      </c>
      <c r="C19" s="12" t="s">
        <v>22</v>
      </c>
    </row>
    <row r="20" customFormat="false" ht="15" hidden="false" customHeight="false" outlineLevel="0" collapsed="false">
      <c r="A20" s="1"/>
      <c r="B20" s="1"/>
      <c r="C20" s="1"/>
    </row>
    <row r="21" customFormat="false" ht="27.75" hidden="false" customHeight="true" outlineLevel="0" collapsed="false">
      <c r="A21" s="1"/>
      <c r="B21" s="13" t="s">
        <v>23</v>
      </c>
      <c r="C21" s="12" t="s">
        <v>24</v>
      </c>
    </row>
    <row r="22" customFormat="false" ht="27.75" hidden="false" customHeight="true" outlineLevel="0" collapsed="false">
      <c r="A22" s="1"/>
      <c r="B22" s="13" t="s">
        <v>25</v>
      </c>
      <c r="C22" s="12" t="s">
        <v>26</v>
      </c>
    </row>
    <row r="23" customFormat="false" ht="15" hidden="false" customHeight="false" outlineLevel="0" collapsed="false">
      <c r="A23" s="1"/>
      <c r="B23" s="1"/>
      <c r="C23" s="1"/>
    </row>
    <row r="24" customFormat="false" ht="15" hidden="false" customHeight="false" outlineLevel="0" collapsed="false">
      <c r="A24" s="1"/>
      <c r="B24" s="14" t="s">
        <v>27</v>
      </c>
      <c r="C24" s="1"/>
    </row>
    <row r="25" customFormat="false" ht="15" hidden="false" customHeight="false" outlineLevel="0" collapsed="false">
      <c r="A25" s="1"/>
      <c r="B25" s="1"/>
      <c r="C2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1" min="2" style="0" width="13"/>
  </cols>
  <sheetData>
    <row r="1" customFormat="false" ht="33.75" hidden="false" customHeight="true" outlineLevel="0" collapsed="false">
      <c r="A1" s="15" t="str">
        <f aca="false">"Dein Finanzjahr "&amp;Start!C6</f>
        <v>Dein Finanzjahr 2027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6" t="s">
        <v>28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9.5" hidden="false" customHeight="true" outlineLevel="0" collapsed="false">
      <c r="A4" s="1"/>
      <c r="B4" s="17" t="s">
        <v>29</v>
      </c>
      <c r="C4" s="17"/>
      <c r="D4" s="17" t="s">
        <v>30</v>
      </c>
      <c r="E4" s="17"/>
      <c r="F4" s="17" t="s">
        <v>31</v>
      </c>
      <c r="G4" s="17"/>
      <c r="H4" s="17" t="s">
        <v>32</v>
      </c>
      <c r="I4" s="17"/>
      <c r="J4" s="17" t="s">
        <v>33</v>
      </c>
      <c r="K4" s="17"/>
    </row>
    <row r="5" customFormat="false" ht="30" hidden="false" customHeight="true" outlineLevel="0" collapsed="false">
      <c r="A5" s="1"/>
      <c r="B5" s="18" t="n">
        <f aca="false">Monatsübersicht!O14</f>
        <v>2100</v>
      </c>
      <c r="C5" s="18"/>
      <c r="D5" s="19" t="n">
        <f aca="false">Monatsübersicht!O42</f>
        <v>0</v>
      </c>
      <c r="E5" s="19"/>
      <c r="F5" s="20" t="n">
        <f aca="false">Monatsübersicht!O44</f>
        <v>2100</v>
      </c>
      <c r="G5" s="20"/>
      <c r="H5" s="21" t="n">
        <f aca="false">IF(Monatsübersicht!O14=0,0,Monatsübersicht!O44/Monatsübersicht!O14)</f>
        <v>1</v>
      </c>
      <c r="I5" s="21"/>
      <c r="J5" s="20" t="n">
        <f aca="false">Start!C7+Monatsübersicht!O44</f>
        <v>2100</v>
      </c>
      <c r="K5" s="20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19.5" hidden="false" customHeight="true" outlineLevel="0" collapsed="false">
      <c r="A7" s="1"/>
      <c r="B7" s="17" t="s">
        <v>34</v>
      </c>
      <c r="C7" s="17"/>
      <c r="D7" s="17" t="s">
        <v>35</v>
      </c>
      <c r="E7" s="17"/>
      <c r="F7" s="17" t="s">
        <v>36</v>
      </c>
      <c r="G7" s="17"/>
      <c r="H7" s="17" t="s">
        <v>37</v>
      </c>
      <c r="I7" s="17"/>
      <c r="J7" s="17" t="s">
        <v>38</v>
      </c>
      <c r="K7" s="17"/>
    </row>
    <row r="8" customFormat="false" ht="30" hidden="false" customHeight="true" outlineLevel="0" collapsed="false">
      <c r="A8" s="1"/>
      <c r="B8" s="18" t="n">
        <f aca="false">Monatsübersicht!O14/MAX(1,Monatsübersicht!B48)</f>
        <v>2100</v>
      </c>
      <c r="C8" s="18"/>
      <c r="D8" s="19" t="n">
        <f aca="false">Monatsübersicht!O42/MAX(1,Monatsübersicht!B48)</f>
        <v>0</v>
      </c>
      <c r="E8" s="19"/>
      <c r="F8" s="20" t="n">
        <f aca="false">Monatsübersicht!O44/MAX(1,Monatsübersicht!B48)</f>
        <v>2100</v>
      </c>
      <c r="G8" s="20"/>
      <c r="H8" s="22" t="n">
        <f aca="false">Monatsübersicht!B48</f>
        <v>1</v>
      </c>
      <c r="I8" s="22"/>
      <c r="J8" s="23" t="n">
        <f aca="false">COUNTIF(Monatsübersicht!R17:R41,"&lt;0")</f>
        <v>0</v>
      </c>
      <c r="K8" s="23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customFormat="false" ht="15" hidden="false" customHeight="false" outlineLevel="0" collapsed="false">
      <c r="A11" s="1"/>
      <c r="B11" s="24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customFormat="false" ht="30" hidden="false" customHeight="true" outlineLevel="0" collapsed="false">
      <c r="A12" s="1"/>
      <c r="B12" s="25" t="s">
        <v>40</v>
      </c>
      <c r="C12" s="25" t="s">
        <v>41</v>
      </c>
      <c r="D12" s="25" t="s">
        <v>42</v>
      </c>
      <c r="E12" s="25" t="s">
        <v>43</v>
      </c>
      <c r="F12" s="1"/>
      <c r="G12" s="1"/>
      <c r="H12" s="1"/>
      <c r="I12" s="1"/>
      <c r="J12" s="1"/>
      <c r="K12" s="1"/>
    </row>
    <row r="13" customFormat="false" ht="15" hidden="false" customHeight="false" outlineLevel="0" collapsed="false">
      <c r="A13" s="1"/>
      <c r="B13" s="10" t="s">
        <v>44</v>
      </c>
      <c r="C13" s="26" t="n">
        <f aca="false">Monatsübersicht!C14</f>
        <v>2100</v>
      </c>
      <c r="D13" s="26" t="n">
        <f aca="false">Monatsübersicht!C42</f>
        <v>0</v>
      </c>
      <c r="E13" s="26" t="n">
        <f aca="false">Monatsübersicht!C44</f>
        <v>2100</v>
      </c>
      <c r="F13" s="1"/>
      <c r="G13" s="1"/>
      <c r="H13" s="1"/>
      <c r="I13" s="1"/>
      <c r="J13" s="1"/>
      <c r="K13" s="1"/>
    </row>
    <row r="14" customFormat="false" ht="15" hidden="false" customHeight="false" outlineLevel="0" collapsed="false">
      <c r="A14" s="1"/>
      <c r="B14" s="10" t="s">
        <v>45</v>
      </c>
      <c r="C14" s="26" t="n">
        <f aca="false">Monatsübersicht!D14</f>
        <v>0</v>
      </c>
      <c r="D14" s="26" t="n">
        <f aca="false">Monatsübersicht!D42</f>
        <v>0</v>
      </c>
      <c r="E14" s="26" t="n">
        <f aca="false">Monatsübersicht!D44</f>
        <v>0</v>
      </c>
      <c r="F14" s="1"/>
      <c r="G14" s="1"/>
      <c r="H14" s="1"/>
      <c r="I14" s="1"/>
      <c r="J14" s="1"/>
      <c r="K14" s="1"/>
    </row>
    <row r="15" customFormat="false" ht="15" hidden="false" customHeight="false" outlineLevel="0" collapsed="false">
      <c r="A15" s="1"/>
      <c r="B15" s="10" t="s">
        <v>46</v>
      </c>
      <c r="C15" s="26" t="n">
        <f aca="false">Monatsübersicht!E14</f>
        <v>0</v>
      </c>
      <c r="D15" s="26" t="n">
        <f aca="false">Monatsübersicht!E42</f>
        <v>0</v>
      </c>
      <c r="E15" s="26" t="n">
        <f aca="false">Monatsübersicht!E44</f>
        <v>0</v>
      </c>
      <c r="F15" s="1"/>
      <c r="G15" s="1"/>
      <c r="H15" s="1"/>
      <c r="I15" s="1"/>
      <c r="J15" s="1"/>
      <c r="K15" s="1"/>
    </row>
    <row r="16" customFormat="false" ht="15" hidden="false" customHeight="false" outlineLevel="0" collapsed="false">
      <c r="A16" s="1"/>
      <c r="B16" s="10" t="s">
        <v>47</v>
      </c>
      <c r="C16" s="26" t="n">
        <f aca="false">Monatsübersicht!F14</f>
        <v>0</v>
      </c>
      <c r="D16" s="26" t="n">
        <f aca="false">Monatsübersicht!F42</f>
        <v>0</v>
      </c>
      <c r="E16" s="26" t="n">
        <f aca="false">Monatsübersicht!F44</f>
        <v>0</v>
      </c>
      <c r="F16" s="1"/>
      <c r="G16" s="1"/>
      <c r="H16" s="1"/>
      <c r="I16" s="1"/>
      <c r="J16" s="1"/>
      <c r="K16" s="1"/>
    </row>
    <row r="17" customFormat="false" ht="15" hidden="false" customHeight="false" outlineLevel="0" collapsed="false">
      <c r="A17" s="1"/>
      <c r="B17" s="10" t="s">
        <v>48</v>
      </c>
      <c r="C17" s="26" t="n">
        <f aca="false">Monatsübersicht!G14</f>
        <v>0</v>
      </c>
      <c r="D17" s="26" t="n">
        <f aca="false">Monatsübersicht!G42</f>
        <v>0</v>
      </c>
      <c r="E17" s="26" t="n">
        <f aca="false">Monatsübersicht!G44</f>
        <v>0</v>
      </c>
      <c r="F17" s="1"/>
      <c r="G17" s="1"/>
      <c r="H17" s="1"/>
      <c r="I17" s="1"/>
      <c r="J17" s="1"/>
      <c r="K17" s="1"/>
    </row>
    <row r="18" customFormat="false" ht="15" hidden="false" customHeight="false" outlineLevel="0" collapsed="false">
      <c r="A18" s="1"/>
      <c r="B18" s="10" t="s">
        <v>49</v>
      </c>
      <c r="C18" s="26" t="n">
        <f aca="false">Monatsübersicht!H14</f>
        <v>0</v>
      </c>
      <c r="D18" s="26" t="n">
        <f aca="false">Monatsübersicht!H42</f>
        <v>0</v>
      </c>
      <c r="E18" s="26" t="n">
        <f aca="false">Monatsübersicht!H44</f>
        <v>0</v>
      </c>
      <c r="F18" s="1"/>
      <c r="G18" s="1"/>
      <c r="H18" s="1"/>
      <c r="I18" s="1"/>
      <c r="J18" s="1"/>
      <c r="K18" s="1"/>
    </row>
    <row r="19" customFormat="false" ht="15" hidden="false" customHeight="false" outlineLevel="0" collapsed="false">
      <c r="A19" s="1"/>
      <c r="B19" s="10" t="s">
        <v>50</v>
      </c>
      <c r="C19" s="26" t="n">
        <f aca="false">Monatsübersicht!I14</f>
        <v>0</v>
      </c>
      <c r="D19" s="26" t="n">
        <f aca="false">Monatsübersicht!I42</f>
        <v>0</v>
      </c>
      <c r="E19" s="26" t="n">
        <f aca="false">Monatsübersicht!I44</f>
        <v>0</v>
      </c>
      <c r="F19" s="1"/>
      <c r="G19" s="1"/>
      <c r="H19" s="1"/>
      <c r="I19" s="1"/>
      <c r="J19" s="1"/>
      <c r="K19" s="1"/>
    </row>
    <row r="20" customFormat="false" ht="15" hidden="false" customHeight="false" outlineLevel="0" collapsed="false">
      <c r="A20" s="1"/>
      <c r="B20" s="10" t="s">
        <v>51</v>
      </c>
      <c r="C20" s="26" t="n">
        <f aca="false">Monatsübersicht!J14</f>
        <v>0</v>
      </c>
      <c r="D20" s="26" t="n">
        <f aca="false">Monatsübersicht!J42</f>
        <v>0</v>
      </c>
      <c r="E20" s="26" t="n">
        <f aca="false">Monatsübersicht!J44</f>
        <v>0</v>
      </c>
      <c r="F20" s="1"/>
      <c r="G20" s="1"/>
      <c r="H20" s="1"/>
      <c r="I20" s="1"/>
      <c r="J20" s="1"/>
      <c r="K20" s="1"/>
    </row>
    <row r="21" customFormat="false" ht="15" hidden="false" customHeight="false" outlineLevel="0" collapsed="false">
      <c r="A21" s="1"/>
      <c r="B21" s="10" t="s">
        <v>52</v>
      </c>
      <c r="C21" s="26" t="n">
        <f aca="false">Monatsübersicht!K14</f>
        <v>0</v>
      </c>
      <c r="D21" s="26" t="n">
        <f aca="false">Monatsübersicht!K42</f>
        <v>0</v>
      </c>
      <c r="E21" s="26" t="n">
        <f aca="false">Monatsübersicht!K44</f>
        <v>0</v>
      </c>
      <c r="F21" s="1"/>
      <c r="G21" s="1"/>
      <c r="H21" s="1"/>
      <c r="I21" s="1"/>
      <c r="J21" s="1"/>
      <c r="K21" s="1"/>
    </row>
    <row r="22" customFormat="false" ht="15" hidden="false" customHeight="false" outlineLevel="0" collapsed="false">
      <c r="A22" s="1"/>
      <c r="B22" s="10" t="s">
        <v>53</v>
      </c>
      <c r="C22" s="26" t="n">
        <f aca="false">Monatsübersicht!L14</f>
        <v>0</v>
      </c>
      <c r="D22" s="26" t="n">
        <f aca="false">Monatsübersicht!L42</f>
        <v>0</v>
      </c>
      <c r="E22" s="26" t="n">
        <f aca="false">Monatsübersicht!L44</f>
        <v>0</v>
      </c>
      <c r="F22" s="1"/>
      <c r="G22" s="1"/>
      <c r="H22" s="1"/>
      <c r="I22" s="1"/>
      <c r="J22" s="1"/>
      <c r="K22" s="1"/>
    </row>
    <row r="23" customFormat="false" ht="15" hidden="false" customHeight="false" outlineLevel="0" collapsed="false">
      <c r="A23" s="1"/>
      <c r="B23" s="10" t="s">
        <v>54</v>
      </c>
      <c r="C23" s="26" t="n">
        <f aca="false">Monatsübersicht!M14</f>
        <v>0</v>
      </c>
      <c r="D23" s="26" t="n">
        <f aca="false">Monatsübersicht!M42</f>
        <v>0</v>
      </c>
      <c r="E23" s="26" t="n">
        <f aca="false">Monatsübersicht!M44</f>
        <v>0</v>
      </c>
      <c r="F23" s="1"/>
      <c r="G23" s="1"/>
      <c r="H23" s="1"/>
      <c r="I23" s="1"/>
      <c r="J23" s="1"/>
      <c r="K23" s="1"/>
    </row>
    <row r="24" customFormat="false" ht="15" hidden="false" customHeight="false" outlineLevel="0" collapsed="false">
      <c r="A24" s="1"/>
      <c r="B24" s="10" t="s">
        <v>55</v>
      </c>
      <c r="C24" s="26" t="n">
        <f aca="false">Monatsübersicht!N14</f>
        <v>0</v>
      </c>
      <c r="D24" s="26" t="n">
        <f aca="false">Monatsübersicht!N42</f>
        <v>0</v>
      </c>
      <c r="E24" s="26" t="n">
        <f aca="false">Monatsübersicht!N44</f>
        <v>0</v>
      </c>
      <c r="F24" s="1"/>
      <c r="G24" s="1"/>
      <c r="H24" s="1"/>
      <c r="I24" s="1"/>
      <c r="J24" s="1"/>
      <c r="K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customFormat="false" ht="15" hidden="false" customHeight="false" outlineLevel="0" collapsed="false">
      <c r="A27" s="1"/>
      <c r="B27" s="24" t="s">
        <v>56</v>
      </c>
      <c r="C27" s="1"/>
      <c r="D27" s="1"/>
      <c r="E27" s="1"/>
      <c r="F27" s="1"/>
      <c r="G27" s="1"/>
      <c r="H27" s="1"/>
      <c r="I27" s="1"/>
      <c r="J27" s="1"/>
      <c r="K27" s="1"/>
    </row>
    <row r="28" customFormat="false" ht="30" hidden="false" customHeight="true" outlineLevel="0" collapsed="false">
      <c r="A28" s="1"/>
      <c r="B28" s="25" t="s">
        <v>57</v>
      </c>
      <c r="C28" s="25"/>
      <c r="D28" s="25" t="s">
        <v>58</v>
      </c>
      <c r="E28" s="25" t="s">
        <v>59</v>
      </c>
      <c r="F28" s="1"/>
      <c r="G28" s="1"/>
      <c r="H28" s="1"/>
      <c r="I28" s="1"/>
      <c r="J28" s="1"/>
      <c r="K28" s="1"/>
    </row>
    <row r="29" customFormat="false" ht="15" hidden="false" customHeight="false" outlineLevel="0" collapsed="false">
      <c r="A29" s="1"/>
      <c r="B29" s="10" t="str">
        <f aca="false">IF(INDEX(Monatsübersicht!$O$17:$O$41,MATCH(LARGE(Monatsübersicht!$S$17:$S$41,1),Monatsübersicht!$S$17:$S$41,0))&lt;=0,"",INDEX(Monatsübersicht!$A$17:$A$41,MATCH(LARGE(Monatsübersicht!$S$17:$S$41,1),Monatsübersicht!$S$17:$S$41,0)))</f>
        <v/>
      </c>
      <c r="C29" s="10"/>
      <c r="D29" s="26" t="n">
        <f aca="false">MAX(0,INDEX(Monatsübersicht!$O$17:$O$41,MATCH(LARGE(Monatsübersicht!$S$17:$S$41,1),Monatsübersicht!$S$17:$S$41,0)))</f>
        <v>0</v>
      </c>
      <c r="E29" s="27" t="n">
        <f aca="false">IF(Monatsübersicht!O42=0,0,D29/Monatsübersicht!O42)</f>
        <v>0</v>
      </c>
      <c r="F29" s="1"/>
      <c r="G29" s="1"/>
      <c r="H29" s="1"/>
      <c r="I29" s="1"/>
      <c r="J29" s="1"/>
      <c r="K29" s="1"/>
    </row>
    <row r="30" customFormat="false" ht="15" hidden="false" customHeight="false" outlineLevel="0" collapsed="false">
      <c r="A30" s="1"/>
      <c r="B30" s="10" t="str">
        <f aca="false">IF(INDEX(Monatsübersicht!$O$17:$O$41,MATCH(LARGE(Monatsübersicht!$S$17:$S$41,2),Monatsübersicht!$S$17:$S$41,0))&lt;=0,"",INDEX(Monatsübersicht!$A$17:$A$41,MATCH(LARGE(Monatsübersicht!$S$17:$S$41,2),Monatsübersicht!$S$17:$S$41,0)))</f>
        <v/>
      </c>
      <c r="C30" s="10"/>
      <c r="D30" s="26" t="n">
        <f aca="false">MAX(0,INDEX(Monatsübersicht!$O$17:$O$41,MATCH(LARGE(Monatsübersicht!$S$17:$S$41,2),Monatsübersicht!$S$17:$S$41,0)))</f>
        <v>0</v>
      </c>
      <c r="E30" s="27" t="n">
        <f aca="false">IF(Monatsübersicht!O42=0,0,D30/Monatsübersicht!O42)</f>
        <v>0</v>
      </c>
      <c r="F30" s="1"/>
      <c r="G30" s="1"/>
      <c r="H30" s="1"/>
      <c r="I30" s="1"/>
      <c r="J30" s="1"/>
      <c r="K30" s="1"/>
    </row>
    <row r="31" customFormat="false" ht="15" hidden="false" customHeight="false" outlineLevel="0" collapsed="false">
      <c r="A31" s="1"/>
      <c r="B31" s="10" t="str">
        <f aca="false">IF(INDEX(Monatsübersicht!$O$17:$O$41,MATCH(LARGE(Monatsübersicht!$S$17:$S$41,3),Monatsübersicht!$S$17:$S$41,0))&lt;=0,"",INDEX(Monatsübersicht!$A$17:$A$41,MATCH(LARGE(Monatsübersicht!$S$17:$S$41,3),Monatsübersicht!$S$17:$S$41,0)))</f>
        <v/>
      </c>
      <c r="C31" s="10"/>
      <c r="D31" s="26" t="n">
        <f aca="false">MAX(0,INDEX(Monatsübersicht!$O$17:$O$41,MATCH(LARGE(Monatsübersicht!$S$17:$S$41,3),Monatsübersicht!$S$17:$S$41,0)))</f>
        <v>0</v>
      </c>
      <c r="E31" s="27" t="n">
        <f aca="false">IF(Monatsübersicht!O42=0,0,D31/Monatsübersicht!O42)</f>
        <v>0</v>
      </c>
      <c r="F31" s="1"/>
      <c r="G31" s="1"/>
      <c r="H31" s="1"/>
      <c r="I31" s="1"/>
      <c r="J31" s="1"/>
      <c r="K31" s="1"/>
    </row>
    <row r="32" customFormat="false" ht="15" hidden="false" customHeight="false" outlineLevel="0" collapsed="false">
      <c r="A32" s="1"/>
      <c r="B32" s="10" t="str">
        <f aca="false">IF(INDEX(Monatsübersicht!$O$17:$O$41,MATCH(LARGE(Monatsübersicht!$S$17:$S$41,4),Monatsübersicht!$S$17:$S$41,0))&lt;=0,"",INDEX(Monatsübersicht!$A$17:$A$41,MATCH(LARGE(Monatsübersicht!$S$17:$S$41,4),Monatsübersicht!$S$17:$S$41,0)))</f>
        <v/>
      </c>
      <c r="C32" s="10"/>
      <c r="D32" s="26" t="n">
        <f aca="false">MAX(0,INDEX(Monatsübersicht!$O$17:$O$41,MATCH(LARGE(Monatsübersicht!$S$17:$S$41,4),Monatsübersicht!$S$17:$S$41,0)))</f>
        <v>0</v>
      </c>
      <c r="E32" s="27" t="n">
        <f aca="false">IF(Monatsübersicht!O42=0,0,D32/Monatsübersicht!O42)</f>
        <v>0</v>
      </c>
      <c r="F32" s="1"/>
      <c r="G32" s="1"/>
      <c r="H32" s="1"/>
      <c r="I32" s="1"/>
      <c r="J32" s="1"/>
      <c r="K32" s="1"/>
    </row>
    <row r="33" customFormat="false" ht="15" hidden="false" customHeight="false" outlineLevel="0" collapsed="false">
      <c r="A33" s="1"/>
      <c r="B33" s="10" t="str">
        <f aca="false">IF(INDEX(Monatsübersicht!$O$17:$O$41,MATCH(LARGE(Monatsübersicht!$S$17:$S$41,5),Monatsübersicht!$S$17:$S$41,0))&lt;=0,"",INDEX(Monatsübersicht!$A$17:$A$41,MATCH(LARGE(Monatsübersicht!$S$17:$S$41,5),Monatsübersicht!$S$17:$S$41,0)))</f>
        <v/>
      </c>
      <c r="C33" s="10"/>
      <c r="D33" s="26" t="n">
        <f aca="false">MAX(0,INDEX(Monatsübersicht!$O$17:$O$41,MATCH(LARGE(Monatsübersicht!$S$17:$S$41,5),Monatsübersicht!$S$17:$S$41,0)))</f>
        <v>0</v>
      </c>
      <c r="E33" s="27" t="n">
        <f aca="false">IF(Monatsübersicht!O42=0,0,D33/Monatsübersicht!O42)</f>
        <v>0</v>
      </c>
      <c r="F33" s="1"/>
      <c r="G33" s="1"/>
      <c r="H33" s="1"/>
      <c r="I33" s="1"/>
      <c r="J33" s="1"/>
      <c r="K33" s="1"/>
    </row>
    <row r="34" customFormat="false" ht="15" hidden="false" customHeight="false" outlineLevel="0" collapsed="false">
      <c r="A34" s="1"/>
      <c r="B34" s="10" t="str">
        <f aca="false">IF(INDEX(Monatsübersicht!$O$17:$O$41,MATCH(LARGE(Monatsübersicht!$S$17:$S$41,6),Monatsübersicht!$S$17:$S$41,0))&lt;=0,"",INDEX(Monatsübersicht!$A$17:$A$41,MATCH(LARGE(Monatsübersicht!$S$17:$S$41,6),Monatsübersicht!$S$17:$S$41,0)))</f>
        <v/>
      </c>
      <c r="C34" s="10"/>
      <c r="D34" s="26" t="n">
        <f aca="false">MAX(0,INDEX(Monatsübersicht!$O$17:$O$41,MATCH(LARGE(Monatsübersicht!$S$17:$S$41,6),Monatsübersicht!$S$17:$S$41,0)))</f>
        <v>0</v>
      </c>
      <c r="E34" s="27" t="n">
        <f aca="false">IF(Monatsübersicht!O42=0,0,D34/Monatsübersicht!O42)</f>
        <v>0</v>
      </c>
      <c r="F34" s="1"/>
      <c r="G34" s="1"/>
      <c r="H34" s="1"/>
      <c r="I34" s="1"/>
      <c r="J34" s="1"/>
      <c r="K34" s="1"/>
    </row>
    <row r="35" customFormat="false" ht="15" hidden="false" customHeight="false" outlineLevel="0" collapsed="false">
      <c r="A35" s="1"/>
      <c r="B35" s="10" t="str">
        <f aca="false">IF(INDEX(Monatsübersicht!$O$17:$O$41,MATCH(LARGE(Monatsübersicht!$S$17:$S$41,7),Monatsübersicht!$S$17:$S$41,0))&lt;=0,"",INDEX(Monatsübersicht!$A$17:$A$41,MATCH(LARGE(Monatsübersicht!$S$17:$S$41,7),Monatsübersicht!$S$17:$S$41,0)))</f>
        <v/>
      </c>
      <c r="C35" s="10"/>
      <c r="D35" s="26" t="n">
        <f aca="false">MAX(0,INDEX(Monatsübersicht!$O$17:$O$41,MATCH(LARGE(Monatsübersicht!$S$17:$S$41,7),Monatsübersicht!$S$17:$S$41,0)))</f>
        <v>0</v>
      </c>
      <c r="E35" s="27" t="n">
        <f aca="false">IF(Monatsübersicht!O42=0,0,D35/Monatsübersicht!O42)</f>
        <v>0</v>
      </c>
      <c r="F35" s="1"/>
      <c r="G35" s="1"/>
      <c r="H35" s="1"/>
      <c r="I35" s="1"/>
      <c r="J35" s="1"/>
      <c r="K35" s="1"/>
    </row>
    <row r="36" customFormat="false" ht="15" hidden="false" customHeight="false" outlineLevel="0" collapsed="false">
      <c r="A36" s="1"/>
      <c r="B36" s="10" t="str">
        <f aca="false">IF(INDEX(Monatsübersicht!$O$17:$O$41,MATCH(LARGE(Monatsübersicht!$S$17:$S$41,8),Monatsübersicht!$S$17:$S$41,0))&lt;=0,"",INDEX(Monatsübersicht!$A$17:$A$41,MATCH(LARGE(Monatsübersicht!$S$17:$S$41,8),Monatsübersicht!$S$17:$S$41,0)))</f>
        <v/>
      </c>
      <c r="C36" s="10"/>
      <c r="D36" s="26" t="n">
        <f aca="false">MAX(0,INDEX(Monatsübersicht!$O$17:$O$41,MATCH(LARGE(Monatsübersicht!$S$17:$S$41,8),Monatsübersicht!$S$17:$S$41,0)))</f>
        <v>0</v>
      </c>
      <c r="E36" s="27" t="n">
        <f aca="false">IF(Monatsübersicht!O42=0,0,D36/Monatsübersicht!O42)</f>
        <v>0</v>
      </c>
      <c r="F36" s="1"/>
      <c r="G36" s="1"/>
      <c r="H36" s="1"/>
      <c r="I36" s="1"/>
      <c r="J36" s="1"/>
      <c r="K36" s="1"/>
    </row>
  </sheetData>
  <sheetProtection sheet="true"/>
  <mergeCells count="29"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</mergeCells>
  <conditionalFormatting sqref="E13:E24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B9B5"/>
    <pageSetUpPr fitToPage="true"/>
  </sheetPr>
  <dimension ref="A1:E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15"/>
    <col collapsed="false" customWidth="true" hidden="false" outlineLevel="0" max="5" min="5" style="0" width="20"/>
  </cols>
  <sheetData>
    <row r="1" customFormat="false" ht="30" hidden="false" customHeight="true" outlineLevel="0" collapsed="false">
      <c r="A1" s="28" t="s">
        <v>60</v>
      </c>
    </row>
    <row r="2" customFormat="false" ht="15" hidden="false" customHeight="false" outlineLevel="0" collapsed="false">
      <c r="A2" s="16" t="s">
        <v>61</v>
      </c>
    </row>
    <row r="4" customFormat="false" ht="30" hidden="false" customHeight="true" outlineLevel="0" collapsed="false">
      <c r="A4" s="25" t="s">
        <v>62</v>
      </c>
      <c r="B4" s="25" t="s">
        <v>57</v>
      </c>
      <c r="C4" s="25" t="s">
        <v>63</v>
      </c>
      <c r="D4" s="25" t="s">
        <v>64</v>
      </c>
      <c r="E4" s="25" t="s">
        <v>65</v>
      </c>
    </row>
    <row r="5" customFormat="false" ht="15" hidden="false" customHeight="false" outlineLevel="0" collapsed="false">
      <c r="A5" s="29" t="n">
        <v>46388</v>
      </c>
      <c r="B5" s="30" t="s">
        <v>66</v>
      </c>
      <c r="C5" s="30" t="s">
        <v>67</v>
      </c>
      <c r="D5" s="31" t="n">
        <v>2100</v>
      </c>
      <c r="E5" s="32" t="str">
        <f aca="false">IF(B5="","",IFERROR(INDEX(Kategorien!$B$5:$B$37,MATCH(B5,Kategorien!$A$5:$A$37,0)),"unbekannte Kategorie"))</f>
        <v>Einnahme</v>
      </c>
    </row>
    <row r="6" customFormat="false" ht="15" hidden="false" customHeight="false" outlineLevel="0" collapsed="false">
      <c r="A6" s="29"/>
      <c r="B6" s="30"/>
      <c r="C6" s="30"/>
      <c r="D6" s="31"/>
      <c r="E6" s="32" t="str">
        <f aca="false">IF(B6="","",IFERROR(INDEX(Kategorien!$B$5:$B$37,MATCH(B6,Kategorien!$A$5:$A$37,0)),"unbekannte Kategorie"))</f>
        <v/>
      </c>
    </row>
    <row r="7" customFormat="false" ht="15" hidden="false" customHeight="false" outlineLevel="0" collapsed="false">
      <c r="A7" s="29"/>
      <c r="B7" s="30"/>
      <c r="C7" s="30"/>
      <c r="D7" s="31"/>
      <c r="E7" s="32" t="str">
        <f aca="false">IF(B7="","",IFERROR(INDEX(Kategorien!$B$5:$B$37,MATCH(B7,Kategorien!$A$5:$A$37,0)),"unbekannte Kategorie"))</f>
        <v/>
      </c>
    </row>
    <row r="8" customFormat="false" ht="15" hidden="false" customHeight="false" outlineLevel="0" collapsed="false">
      <c r="A8" s="29"/>
      <c r="B8" s="30"/>
      <c r="C8" s="30"/>
      <c r="D8" s="31"/>
      <c r="E8" s="32" t="str">
        <f aca="false">IF(B8="","",IFERROR(INDEX(Kategorien!$B$5:$B$37,MATCH(B8,Kategorien!$A$5:$A$37,0)),"unbekannte Kategorie"))</f>
        <v/>
      </c>
    </row>
    <row r="9" customFormat="false" ht="15" hidden="false" customHeight="false" outlineLevel="0" collapsed="false">
      <c r="A9" s="29"/>
      <c r="B9" s="30"/>
      <c r="C9" s="30"/>
      <c r="D9" s="31"/>
      <c r="E9" s="32" t="str">
        <f aca="false">IF(B9="","",IFERROR(INDEX(Kategorien!$B$5:$B$37,MATCH(B9,Kategorien!$A$5:$A$37,0)),"unbekannte Kategorie"))</f>
        <v/>
      </c>
    </row>
    <row r="10" customFormat="false" ht="15" hidden="false" customHeight="false" outlineLevel="0" collapsed="false">
      <c r="A10" s="29"/>
      <c r="B10" s="30"/>
      <c r="C10" s="30"/>
      <c r="D10" s="31"/>
      <c r="E10" s="32" t="str">
        <f aca="false">IF(B10="","",IFERROR(INDEX(Kategorien!$B$5:$B$37,MATCH(B10,Kategorien!$A$5:$A$37,0)),"unbekannte Kategorie"))</f>
        <v/>
      </c>
    </row>
    <row r="11" customFormat="false" ht="15" hidden="false" customHeight="false" outlineLevel="0" collapsed="false">
      <c r="A11" s="29"/>
      <c r="B11" s="30"/>
      <c r="C11" s="30"/>
      <c r="D11" s="31"/>
      <c r="E11" s="32" t="str">
        <f aca="false">IF(B11="","",IFERROR(INDEX(Kategorien!$B$5:$B$37,MATCH(B11,Kategorien!$A$5:$A$37,0)),"unbekannte Kategorie"))</f>
        <v/>
      </c>
    </row>
    <row r="12" customFormat="false" ht="15" hidden="false" customHeight="false" outlineLevel="0" collapsed="false">
      <c r="A12" s="29"/>
      <c r="B12" s="30"/>
      <c r="C12" s="30"/>
      <c r="D12" s="31"/>
      <c r="E12" s="32" t="str">
        <f aca="false">IF(B12="","",IFERROR(INDEX(Kategorien!$B$5:$B$37,MATCH(B12,Kategorien!$A$5:$A$37,0)),"unbekannte Kategorie"))</f>
        <v/>
      </c>
    </row>
    <row r="13" customFormat="false" ht="15" hidden="false" customHeight="false" outlineLevel="0" collapsed="false">
      <c r="A13" s="29"/>
      <c r="B13" s="30"/>
      <c r="C13" s="30"/>
      <c r="D13" s="31"/>
      <c r="E13" s="32" t="str">
        <f aca="false">IF(B13="","",IFERROR(INDEX(Kategorien!$B$5:$B$37,MATCH(B13,Kategorien!$A$5:$A$37,0)),"unbekannte Kategorie"))</f>
        <v/>
      </c>
    </row>
    <row r="14" customFormat="false" ht="15" hidden="false" customHeight="false" outlineLevel="0" collapsed="false">
      <c r="A14" s="29"/>
      <c r="B14" s="30"/>
      <c r="C14" s="30"/>
      <c r="D14" s="31"/>
      <c r="E14" s="32" t="str">
        <f aca="false">IF(B14="","",IFERROR(INDEX(Kategorien!$B$5:$B$37,MATCH(B14,Kategorien!$A$5:$A$37,0)),"unbekannte Kategorie"))</f>
        <v/>
      </c>
    </row>
    <row r="15" customFormat="false" ht="15" hidden="false" customHeight="false" outlineLevel="0" collapsed="false">
      <c r="A15" s="29"/>
      <c r="B15" s="30"/>
      <c r="C15" s="30"/>
      <c r="D15" s="31"/>
      <c r="E15" s="32" t="str">
        <f aca="false">IF(B15="","",IFERROR(INDEX(Kategorien!$B$5:$B$37,MATCH(B15,Kategorien!$A$5:$A$37,0)),"unbekannte Kategorie"))</f>
        <v/>
      </c>
    </row>
    <row r="16" customFormat="false" ht="15" hidden="false" customHeight="false" outlineLevel="0" collapsed="false">
      <c r="A16" s="29"/>
      <c r="B16" s="30"/>
      <c r="C16" s="30"/>
      <c r="D16" s="31"/>
      <c r="E16" s="32" t="str">
        <f aca="false">IF(B16="","",IFERROR(INDEX(Kategorien!$B$5:$B$37,MATCH(B16,Kategorien!$A$5:$A$37,0)),"unbekannte Kategorie"))</f>
        <v/>
      </c>
    </row>
    <row r="17" customFormat="false" ht="15" hidden="false" customHeight="false" outlineLevel="0" collapsed="false">
      <c r="A17" s="29"/>
      <c r="B17" s="30"/>
      <c r="C17" s="30"/>
      <c r="D17" s="31"/>
      <c r="E17" s="32" t="str">
        <f aca="false">IF(B17="","",IFERROR(INDEX(Kategorien!$B$5:$B$37,MATCH(B17,Kategorien!$A$5:$A$37,0)),"unbekannte Kategorie"))</f>
        <v/>
      </c>
    </row>
    <row r="18" customFormat="false" ht="15" hidden="false" customHeight="false" outlineLevel="0" collapsed="false">
      <c r="A18" s="29"/>
      <c r="B18" s="30"/>
      <c r="C18" s="30"/>
      <c r="D18" s="31"/>
      <c r="E18" s="32" t="str">
        <f aca="false">IF(B18="","",IFERROR(INDEX(Kategorien!$B$5:$B$37,MATCH(B18,Kategorien!$A$5:$A$37,0)),"unbekannte Kategorie"))</f>
        <v/>
      </c>
    </row>
    <row r="19" customFormat="false" ht="15" hidden="false" customHeight="false" outlineLevel="0" collapsed="false">
      <c r="A19" s="29"/>
      <c r="B19" s="30"/>
      <c r="C19" s="30"/>
      <c r="D19" s="31"/>
      <c r="E19" s="32" t="str">
        <f aca="false">IF(B19="","",IFERROR(INDEX(Kategorien!$B$5:$B$37,MATCH(B19,Kategorien!$A$5:$A$37,0)),"unbekannte Kategorie"))</f>
        <v/>
      </c>
    </row>
    <row r="20" customFormat="false" ht="15" hidden="false" customHeight="false" outlineLevel="0" collapsed="false">
      <c r="A20" s="29"/>
      <c r="B20" s="30"/>
      <c r="C20" s="30"/>
      <c r="D20" s="31"/>
      <c r="E20" s="32" t="str">
        <f aca="false">IF(B20="","",IFERROR(INDEX(Kategorien!$B$5:$B$37,MATCH(B20,Kategorien!$A$5:$A$37,0)),"unbekannte Kategorie"))</f>
        <v/>
      </c>
    </row>
    <row r="21" customFormat="false" ht="15" hidden="false" customHeight="false" outlineLevel="0" collapsed="false">
      <c r="A21" s="29"/>
      <c r="B21" s="30"/>
      <c r="C21" s="30"/>
      <c r="D21" s="31"/>
      <c r="E21" s="32" t="str">
        <f aca="false">IF(B21="","",IFERROR(INDEX(Kategorien!$B$5:$B$37,MATCH(B21,Kategorien!$A$5:$A$37,0)),"unbekannte Kategorie"))</f>
        <v/>
      </c>
    </row>
    <row r="22" customFormat="false" ht="15" hidden="false" customHeight="false" outlineLevel="0" collapsed="false">
      <c r="A22" s="29"/>
      <c r="B22" s="30"/>
      <c r="C22" s="30"/>
      <c r="D22" s="31"/>
      <c r="E22" s="32" t="str">
        <f aca="false">IF(B22="","",IFERROR(INDEX(Kategorien!$B$5:$B$37,MATCH(B22,Kategorien!$A$5:$A$37,0)),"unbekannte Kategorie"))</f>
        <v/>
      </c>
    </row>
    <row r="23" customFormat="false" ht="15" hidden="false" customHeight="false" outlineLevel="0" collapsed="false">
      <c r="A23" s="29"/>
      <c r="B23" s="30"/>
      <c r="C23" s="30"/>
      <c r="D23" s="31"/>
      <c r="E23" s="32" t="str">
        <f aca="false">IF(B23="","",IFERROR(INDEX(Kategorien!$B$5:$B$37,MATCH(B23,Kategorien!$A$5:$A$37,0)),"unbekannte Kategorie"))</f>
        <v/>
      </c>
    </row>
    <row r="24" customFormat="false" ht="15" hidden="false" customHeight="false" outlineLevel="0" collapsed="false">
      <c r="A24" s="29"/>
      <c r="B24" s="30"/>
      <c r="C24" s="30"/>
      <c r="D24" s="31"/>
      <c r="E24" s="32" t="str">
        <f aca="false">IF(B24="","",IFERROR(INDEX(Kategorien!$B$5:$B$37,MATCH(B24,Kategorien!$A$5:$A$37,0)),"unbekannte Kategorie"))</f>
        <v/>
      </c>
    </row>
    <row r="25" customFormat="false" ht="15" hidden="false" customHeight="false" outlineLevel="0" collapsed="false">
      <c r="A25" s="29"/>
      <c r="B25" s="30"/>
      <c r="C25" s="30"/>
      <c r="D25" s="31"/>
      <c r="E25" s="32" t="str">
        <f aca="false">IF(B25="","",IFERROR(INDEX(Kategorien!$B$5:$B$37,MATCH(B25,Kategorien!$A$5:$A$37,0)),"unbekannte Kategorie"))</f>
        <v/>
      </c>
    </row>
    <row r="26" customFormat="false" ht="15" hidden="false" customHeight="false" outlineLevel="0" collapsed="false">
      <c r="A26" s="29"/>
      <c r="B26" s="30"/>
      <c r="C26" s="30"/>
      <c r="D26" s="31"/>
      <c r="E26" s="32" t="str">
        <f aca="false">IF(B26="","",IFERROR(INDEX(Kategorien!$B$5:$B$37,MATCH(B26,Kategorien!$A$5:$A$37,0)),"unbekannte Kategorie"))</f>
        <v/>
      </c>
    </row>
    <row r="27" customFormat="false" ht="15" hidden="false" customHeight="false" outlineLevel="0" collapsed="false">
      <c r="A27" s="29"/>
      <c r="B27" s="30"/>
      <c r="C27" s="30"/>
      <c r="D27" s="31"/>
      <c r="E27" s="32" t="str">
        <f aca="false">IF(B27="","",IFERROR(INDEX(Kategorien!$B$5:$B$37,MATCH(B27,Kategorien!$A$5:$A$37,0)),"unbekannte Kategorie"))</f>
        <v/>
      </c>
    </row>
    <row r="28" customFormat="false" ht="15" hidden="false" customHeight="false" outlineLevel="0" collapsed="false">
      <c r="A28" s="29"/>
      <c r="B28" s="30"/>
      <c r="C28" s="30"/>
      <c r="D28" s="31"/>
      <c r="E28" s="32" t="str">
        <f aca="false">IF(B28="","",IFERROR(INDEX(Kategorien!$B$5:$B$37,MATCH(B28,Kategorien!$A$5:$A$37,0)),"unbekannte Kategorie"))</f>
        <v/>
      </c>
    </row>
    <row r="29" customFormat="false" ht="15" hidden="false" customHeight="false" outlineLevel="0" collapsed="false">
      <c r="A29" s="29"/>
      <c r="B29" s="30"/>
      <c r="C29" s="30"/>
      <c r="D29" s="31"/>
      <c r="E29" s="32" t="str">
        <f aca="false">IF(B29="","",IFERROR(INDEX(Kategorien!$B$5:$B$37,MATCH(B29,Kategorien!$A$5:$A$37,0)),"unbekannte Kategorie"))</f>
        <v/>
      </c>
    </row>
    <row r="30" customFormat="false" ht="15" hidden="false" customHeight="false" outlineLevel="0" collapsed="false">
      <c r="A30" s="29"/>
      <c r="B30" s="30"/>
      <c r="C30" s="30"/>
      <c r="D30" s="31"/>
      <c r="E30" s="32" t="str">
        <f aca="false">IF(B30="","",IFERROR(INDEX(Kategorien!$B$5:$B$37,MATCH(B30,Kategorien!$A$5:$A$37,0)),"unbekannte Kategorie"))</f>
        <v/>
      </c>
    </row>
    <row r="31" customFormat="false" ht="15" hidden="false" customHeight="false" outlineLevel="0" collapsed="false">
      <c r="A31" s="29"/>
      <c r="B31" s="30"/>
      <c r="C31" s="30"/>
      <c r="D31" s="31"/>
      <c r="E31" s="32" t="str">
        <f aca="false">IF(B31="","",IFERROR(INDEX(Kategorien!$B$5:$B$37,MATCH(B31,Kategorien!$A$5:$A$37,0)),"unbekannte Kategorie"))</f>
        <v/>
      </c>
    </row>
    <row r="32" customFormat="false" ht="15" hidden="false" customHeight="false" outlineLevel="0" collapsed="false">
      <c r="A32" s="29"/>
      <c r="B32" s="30"/>
      <c r="C32" s="30"/>
      <c r="D32" s="31"/>
      <c r="E32" s="32" t="str">
        <f aca="false">IF(B32="","",IFERROR(INDEX(Kategorien!$B$5:$B$37,MATCH(B32,Kategorien!$A$5:$A$37,0)),"unbekannte Kategorie"))</f>
        <v/>
      </c>
    </row>
    <row r="33" customFormat="false" ht="15" hidden="false" customHeight="false" outlineLevel="0" collapsed="false">
      <c r="A33" s="29"/>
      <c r="B33" s="30"/>
      <c r="C33" s="30"/>
      <c r="D33" s="31"/>
      <c r="E33" s="32" t="str">
        <f aca="false">IF(B33="","",IFERROR(INDEX(Kategorien!$B$5:$B$37,MATCH(B33,Kategorien!$A$5:$A$37,0)),"unbekannte Kategorie"))</f>
        <v/>
      </c>
    </row>
    <row r="34" customFormat="false" ht="15" hidden="false" customHeight="false" outlineLevel="0" collapsed="false">
      <c r="A34" s="29"/>
      <c r="B34" s="30"/>
      <c r="C34" s="30"/>
      <c r="D34" s="31"/>
      <c r="E34" s="32" t="str">
        <f aca="false">IF(B34="","",IFERROR(INDEX(Kategorien!$B$5:$B$37,MATCH(B34,Kategorien!$A$5:$A$37,0)),"unbekannte Kategorie"))</f>
        <v/>
      </c>
    </row>
    <row r="35" customFormat="false" ht="15" hidden="false" customHeight="false" outlineLevel="0" collapsed="false">
      <c r="A35" s="29"/>
      <c r="B35" s="30"/>
      <c r="C35" s="30"/>
      <c r="D35" s="31"/>
      <c r="E35" s="32" t="str">
        <f aca="false">IF(B35="","",IFERROR(INDEX(Kategorien!$B$5:$B$37,MATCH(B35,Kategorien!$A$5:$A$37,0)),"unbekannte Kategorie"))</f>
        <v/>
      </c>
    </row>
    <row r="36" customFormat="false" ht="15" hidden="false" customHeight="false" outlineLevel="0" collapsed="false">
      <c r="A36" s="29"/>
      <c r="B36" s="30"/>
      <c r="C36" s="30"/>
      <c r="D36" s="31"/>
      <c r="E36" s="32" t="str">
        <f aca="false">IF(B36="","",IFERROR(INDEX(Kategorien!$B$5:$B$37,MATCH(B36,Kategorien!$A$5:$A$37,0)),"unbekannte Kategorie"))</f>
        <v/>
      </c>
    </row>
    <row r="37" customFormat="false" ht="15" hidden="false" customHeight="false" outlineLevel="0" collapsed="false">
      <c r="A37" s="29"/>
      <c r="B37" s="30"/>
      <c r="C37" s="30"/>
      <c r="D37" s="31"/>
      <c r="E37" s="32" t="str">
        <f aca="false">IF(B37="","",IFERROR(INDEX(Kategorien!$B$5:$B$37,MATCH(B37,Kategorien!$A$5:$A$37,0)),"unbekannte Kategorie"))</f>
        <v/>
      </c>
    </row>
    <row r="38" customFormat="false" ht="15" hidden="false" customHeight="false" outlineLevel="0" collapsed="false">
      <c r="A38" s="29"/>
      <c r="B38" s="30"/>
      <c r="C38" s="30"/>
      <c r="D38" s="31"/>
      <c r="E38" s="32" t="str">
        <f aca="false">IF(B38="","",IFERROR(INDEX(Kategorien!$B$5:$B$37,MATCH(B38,Kategorien!$A$5:$A$37,0)),"unbekannte Kategorie"))</f>
        <v/>
      </c>
    </row>
    <row r="39" customFormat="false" ht="15" hidden="false" customHeight="false" outlineLevel="0" collapsed="false">
      <c r="A39" s="29"/>
      <c r="B39" s="30"/>
      <c r="C39" s="30"/>
      <c r="D39" s="31"/>
      <c r="E39" s="32" t="str">
        <f aca="false">IF(B39="","",IFERROR(INDEX(Kategorien!$B$5:$B$37,MATCH(B39,Kategorien!$A$5:$A$37,0)),"unbekannte Kategorie"))</f>
        <v/>
      </c>
    </row>
    <row r="40" customFormat="false" ht="15" hidden="false" customHeight="false" outlineLevel="0" collapsed="false">
      <c r="A40" s="29"/>
      <c r="B40" s="30"/>
      <c r="C40" s="30"/>
      <c r="D40" s="31"/>
      <c r="E40" s="32" t="str">
        <f aca="false">IF(B40="","",IFERROR(INDEX(Kategorien!$B$5:$B$37,MATCH(B40,Kategorien!$A$5:$A$37,0)),"unbekannte Kategorie"))</f>
        <v/>
      </c>
    </row>
    <row r="41" customFormat="false" ht="15" hidden="false" customHeight="false" outlineLevel="0" collapsed="false">
      <c r="A41" s="29"/>
      <c r="B41" s="30"/>
      <c r="C41" s="30"/>
      <c r="D41" s="31"/>
      <c r="E41" s="32" t="str">
        <f aca="false">IF(B41="","",IFERROR(INDEX(Kategorien!$B$5:$B$37,MATCH(B41,Kategorien!$A$5:$A$37,0)),"unbekannte Kategorie"))</f>
        <v/>
      </c>
    </row>
    <row r="42" customFormat="false" ht="15" hidden="false" customHeight="false" outlineLevel="0" collapsed="false">
      <c r="A42" s="29"/>
      <c r="B42" s="30"/>
      <c r="C42" s="30"/>
      <c r="D42" s="31"/>
      <c r="E42" s="32" t="str">
        <f aca="false">IF(B42="","",IFERROR(INDEX(Kategorien!$B$5:$B$37,MATCH(B42,Kategorien!$A$5:$A$37,0)),"unbekannte Kategorie"))</f>
        <v/>
      </c>
    </row>
    <row r="43" customFormat="false" ht="15" hidden="false" customHeight="false" outlineLevel="0" collapsed="false">
      <c r="A43" s="29"/>
      <c r="B43" s="30"/>
      <c r="C43" s="30"/>
      <c r="D43" s="31"/>
      <c r="E43" s="32" t="str">
        <f aca="false">IF(B43="","",IFERROR(INDEX(Kategorien!$B$5:$B$37,MATCH(B43,Kategorien!$A$5:$A$37,0)),"unbekannte Kategorie"))</f>
        <v/>
      </c>
    </row>
    <row r="44" customFormat="false" ht="15" hidden="false" customHeight="false" outlineLevel="0" collapsed="false">
      <c r="A44" s="29"/>
      <c r="B44" s="30"/>
      <c r="C44" s="30"/>
      <c r="D44" s="31"/>
      <c r="E44" s="32" t="str">
        <f aca="false">IF(B44="","",IFERROR(INDEX(Kategorien!$B$5:$B$37,MATCH(B44,Kategorien!$A$5:$A$37,0)),"unbekannte Kategorie"))</f>
        <v/>
      </c>
    </row>
    <row r="45" customFormat="false" ht="15" hidden="false" customHeight="false" outlineLevel="0" collapsed="false">
      <c r="A45" s="29"/>
      <c r="B45" s="30"/>
      <c r="C45" s="30"/>
      <c r="D45" s="31"/>
      <c r="E45" s="32" t="str">
        <f aca="false">IF(B45="","",IFERROR(INDEX(Kategorien!$B$5:$B$37,MATCH(B45,Kategorien!$A$5:$A$37,0)),"unbekannte Kategorie"))</f>
        <v/>
      </c>
    </row>
    <row r="46" customFormat="false" ht="15" hidden="false" customHeight="false" outlineLevel="0" collapsed="false">
      <c r="A46" s="29"/>
      <c r="B46" s="30"/>
      <c r="C46" s="30"/>
      <c r="D46" s="31"/>
      <c r="E46" s="32" t="str">
        <f aca="false">IF(B46="","",IFERROR(INDEX(Kategorien!$B$5:$B$37,MATCH(B46,Kategorien!$A$5:$A$37,0)),"unbekannte Kategorie"))</f>
        <v/>
      </c>
    </row>
    <row r="47" customFormat="false" ht="15" hidden="false" customHeight="false" outlineLevel="0" collapsed="false">
      <c r="A47" s="29"/>
      <c r="B47" s="30"/>
      <c r="C47" s="30"/>
      <c r="D47" s="31"/>
      <c r="E47" s="32" t="str">
        <f aca="false">IF(B47="","",IFERROR(INDEX(Kategorien!$B$5:$B$37,MATCH(B47,Kategorien!$A$5:$A$37,0)),"unbekannte Kategorie"))</f>
        <v/>
      </c>
    </row>
    <row r="48" customFormat="false" ht="15" hidden="false" customHeight="false" outlineLevel="0" collapsed="false">
      <c r="A48" s="29"/>
      <c r="B48" s="30"/>
      <c r="C48" s="30"/>
      <c r="D48" s="31"/>
      <c r="E48" s="32" t="str">
        <f aca="false">IF(B48="","",IFERROR(INDEX(Kategorien!$B$5:$B$37,MATCH(B48,Kategorien!$A$5:$A$37,0)),"unbekannte Kategorie"))</f>
        <v/>
      </c>
    </row>
    <row r="49" customFormat="false" ht="15" hidden="false" customHeight="false" outlineLevel="0" collapsed="false">
      <c r="A49" s="29"/>
      <c r="B49" s="30"/>
      <c r="C49" s="30"/>
      <c r="D49" s="31"/>
      <c r="E49" s="32" t="str">
        <f aca="false">IF(B49="","",IFERROR(INDEX(Kategorien!$B$5:$B$37,MATCH(B49,Kategorien!$A$5:$A$37,0)),"unbekannte Kategorie"))</f>
        <v/>
      </c>
    </row>
    <row r="50" customFormat="false" ht="15" hidden="false" customHeight="false" outlineLevel="0" collapsed="false">
      <c r="A50" s="29"/>
      <c r="B50" s="30"/>
      <c r="C50" s="30"/>
      <c r="D50" s="31"/>
      <c r="E50" s="32" t="str">
        <f aca="false">IF(B50="","",IFERROR(INDEX(Kategorien!$B$5:$B$37,MATCH(B50,Kategorien!$A$5:$A$37,0)),"unbekannte Kategorie"))</f>
        <v/>
      </c>
    </row>
    <row r="51" customFormat="false" ht="15" hidden="false" customHeight="false" outlineLevel="0" collapsed="false">
      <c r="A51" s="29"/>
      <c r="B51" s="30"/>
      <c r="C51" s="30"/>
      <c r="D51" s="31"/>
      <c r="E51" s="32" t="str">
        <f aca="false">IF(B51="","",IFERROR(INDEX(Kategorien!$B$5:$B$37,MATCH(B51,Kategorien!$A$5:$A$37,0)),"unbekannte Kategorie"))</f>
        <v/>
      </c>
    </row>
    <row r="52" customFormat="false" ht="15" hidden="false" customHeight="false" outlineLevel="0" collapsed="false">
      <c r="A52" s="29"/>
      <c r="B52" s="30"/>
      <c r="C52" s="30"/>
      <c r="D52" s="31"/>
      <c r="E52" s="32" t="str">
        <f aca="false">IF(B52="","",IFERROR(INDEX(Kategorien!$B$5:$B$37,MATCH(B52,Kategorien!$A$5:$A$37,0)),"unbekannte Kategorie"))</f>
        <v/>
      </c>
    </row>
    <row r="53" customFormat="false" ht="15" hidden="false" customHeight="false" outlineLevel="0" collapsed="false">
      <c r="A53" s="29"/>
      <c r="B53" s="30"/>
      <c r="C53" s="30"/>
      <c r="D53" s="31"/>
      <c r="E53" s="32" t="str">
        <f aca="false">IF(B53="","",IFERROR(INDEX(Kategorien!$B$5:$B$37,MATCH(B53,Kategorien!$A$5:$A$37,0)),"unbekannte Kategorie"))</f>
        <v/>
      </c>
    </row>
    <row r="54" customFormat="false" ht="15" hidden="false" customHeight="false" outlineLevel="0" collapsed="false">
      <c r="A54" s="29"/>
      <c r="B54" s="30"/>
      <c r="C54" s="30"/>
      <c r="D54" s="31"/>
      <c r="E54" s="32" t="str">
        <f aca="false">IF(B54="","",IFERROR(INDEX(Kategorien!$B$5:$B$37,MATCH(B54,Kategorien!$A$5:$A$37,0)),"unbekannte Kategorie"))</f>
        <v/>
      </c>
    </row>
    <row r="55" customFormat="false" ht="15" hidden="false" customHeight="false" outlineLevel="0" collapsed="false">
      <c r="A55" s="29"/>
      <c r="B55" s="30"/>
      <c r="C55" s="30"/>
      <c r="D55" s="31"/>
      <c r="E55" s="32" t="str">
        <f aca="false">IF(B55="","",IFERROR(INDEX(Kategorien!$B$5:$B$37,MATCH(B55,Kategorien!$A$5:$A$37,0)),"unbekannte Kategorie"))</f>
        <v/>
      </c>
    </row>
    <row r="56" customFormat="false" ht="15" hidden="false" customHeight="false" outlineLevel="0" collapsed="false">
      <c r="A56" s="29"/>
      <c r="B56" s="30"/>
      <c r="C56" s="30"/>
      <c r="D56" s="31"/>
      <c r="E56" s="32" t="str">
        <f aca="false">IF(B56="","",IFERROR(INDEX(Kategorien!$B$5:$B$37,MATCH(B56,Kategorien!$A$5:$A$37,0)),"unbekannte Kategorie"))</f>
        <v/>
      </c>
    </row>
    <row r="57" customFormat="false" ht="15" hidden="false" customHeight="false" outlineLevel="0" collapsed="false">
      <c r="A57" s="29"/>
      <c r="B57" s="30"/>
      <c r="C57" s="30"/>
      <c r="D57" s="31"/>
      <c r="E57" s="32" t="str">
        <f aca="false">IF(B57="","",IFERROR(INDEX(Kategorien!$B$5:$B$37,MATCH(B57,Kategorien!$A$5:$A$37,0)),"unbekannte Kategorie"))</f>
        <v/>
      </c>
    </row>
    <row r="58" customFormat="false" ht="15" hidden="false" customHeight="false" outlineLevel="0" collapsed="false">
      <c r="A58" s="29"/>
      <c r="B58" s="30"/>
      <c r="C58" s="30"/>
      <c r="D58" s="31"/>
      <c r="E58" s="32" t="str">
        <f aca="false">IF(B58="","",IFERROR(INDEX(Kategorien!$B$5:$B$37,MATCH(B58,Kategorien!$A$5:$A$37,0)),"unbekannte Kategorie"))</f>
        <v/>
      </c>
    </row>
    <row r="59" customFormat="false" ht="15" hidden="false" customHeight="false" outlineLevel="0" collapsed="false">
      <c r="A59" s="29"/>
      <c r="B59" s="30"/>
      <c r="C59" s="30"/>
      <c r="D59" s="31"/>
      <c r="E59" s="32" t="str">
        <f aca="false">IF(B59="","",IFERROR(INDEX(Kategorien!$B$5:$B$37,MATCH(B59,Kategorien!$A$5:$A$37,0)),"unbekannte Kategorie"))</f>
        <v/>
      </c>
    </row>
    <row r="60" customFormat="false" ht="15" hidden="false" customHeight="false" outlineLevel="0" collapsed="false">
      <c r="A60" s="29"/>
      <c r="B60" s="30"/>
      <c r="C60" s="30"/>
      <c r="D60" s="31"/>
      <c r="E60" s="32" t="str">
        <f aca="false">IF(B60="","",IFERROR(INDEX(Kategorien!$B$5:$B$37,MATCH(B60,Kategorien!$A$5:$A$37,0)),"unbekannte Kategorie"))</f>
        <v/>
      </c>
    </row>
    <row r="61" customFormat="false" ht="15" hidden="false" customHeight="false" outlineLevel="0" collapsed="false">
      <c r="A61" s="29"/>
      <c r="B61" s="30"/>
      <c r="C61" s="30"/>
      <c r="D61" s="31"/>
      <c r="E61" s="32" t="str">
        <f aca="false">IF(B61="","",IFERROR(INDEX(Kategorien!$B$5:$B$37,MATCH(B61,Kategorien!$A$5:$A$37,0)),"unbekannte Kategorie"))</f>
        <v/>
      </c>
    </row>
    <row r="62" customFormat="false" ht="15" hidden="false" customHeight="false" outlineLevel="0" collapsed="false">
      <c r="A62" s="29"/>
      <c r="B62" s="30"/>
      <c r="C62" s="30"/>
      <c r="D62" s="31"/>
      <c r="E62" s="32" t="str">
        <f aca="false">IF(B62="","",IFERROR(INDEX(Kategorien!$B$5:$B$37,MATCH(B62,Kategorien!$A$5:$A$37,0)),"unbekannte Kategorie"))</f>
        <v/>
      </c>
    </row>
    <row r="63" customFormat="false" ht="15" hidden="false" customHeight="false" outlineLevel="0" collapsed="false">
      <c r="A63" s="29"/>
      <c r="B63" s="30"/>
      <c r="C63" s="30"/>
      <c r="D63" s="31"/>
      <c r="E63" s="32" t="str">
        <f aca="false">IF(B63="","",IFERROR(INDEX(Kategorien!$B$5:$B$37,MATCH(B63,Kategorien!$A$5:$A$37,0)),"unbekannte Kategorie"))</f>
        <v/>
      </c>
    </row>
    <row r="64" customFormat="false" ht="15" hidden="false" customHeight="false" outlineLevel="0" collapsed="false">
      <c r="A64" s="29"/>
      <c r="B64" s="30"/>
      <c r="C64" s="30"/>
      <c r="D64" s="31"/>
      <c r="E64" s="32" t="str">
        <f aca="false">IF(B64="","",IFERROR(INDEX(Kategorien!$B$5:$B$37,MATCH(B64,Kategorien!$A$5:$A$37,0)),"unbekannte Kategorie"))</f>
        <v/>
      </c>
    </row>
    <row r="65" customFormat="false" ht="15" hidden="false" customHeight="false" outlineLevel="0" collapsed="false">
      <c r="A65" s="29"/>
      <c r="B65" s="30"/>
      <c r="C65" s="30"/>
      <c r="D65" s="31"/>
      <c r="E65" s="32" t="str">
        <f aca="false">IF(B65="","",IFERROR(INDEX(Kategorien!$B$5:$B$37,MATCH(B65,Kategorien!$A$5:$A$37,0)),"unbekannte Kategorie"))</f>
        <v/>
      </c>
    </row>
    <row r="66" customFormat="false" ht="15" hidden="false" customHeight="false" outlineLevel="0" collapsed="false">
      <c r="A66" s="29"/>
      <c r="B66" s="30"/>
      <c r="C66" s="30"/>
      <c r="D66" s="31"/>
      <c r="E66" s="32" t="str">
        <f aca="false">IF(B66="","",IFERROR(INDEX(Kategorien!$B$5:$B$37,MATCH(B66,Kategorien!$A$5:$A$37,0)),"unbekannte Kategorie"))</f>
        <v/>
      </c>
    </row>
    <row r="67" customFormat="false" ht="15" hidden="false" customHeight="false" outlineLevel="0" collapsed="false">
      <c r="A67" s="29"/>
      <c r="B67" s="30"/>
      <c r="C67" s="30"/>
      <c r="D67" s="31"/>
      <c r="E67" s="32" t="str">
        <f aca="false">IF(B67="","",IFERROR(INDEX(Kategorien!$B$5:$B$37,MATCH(B67,Kategorien!$A$5:$A$37,0)),"unbekannte Kategorie"))</f>
        <v/>
      </c>
    </row>
    <row r="68" customFormat="false" ht="15" hidden="false" customHeight="false" outlineLevel="0" collapsed="false">
      <c r="A68" s="29"/>
      <c r="B68" s="30"/>
      <c r="C68" s="30"/>
      <c r="D68" s="31"/>
      <c r="E68" s="32" t="str">
        <f aca="false">IF(B68="","",IFERROR(INDEX(Kategorien!$B$5:$B$37,MATCH(B68,Kategorien!$A$5:$A$37,0)),"unbekannte Kategorie"))</f>
        <v/>
      </c>
    </row>
    <row r="69" customFormat="false" ht="15" hidden="false" customHeight="false" outlineLevel="0" collapsed="false">
      <c r="A69" s="29"/>
      <c r="B69" s="30"/>
      <c r="C69" s="30"/>
      <c r="D69" s="31"/>
      <c r="E69" s="32" t="str">
        <f aca="false">IF(B69="","",IFERROR(INDEX(Kategorien!$B$5:$B$37,MATCH(B69,Kategorien!$A$5:$A$37,0)),"unbekannte Kategorie"))</f>
        <v/>
      </c>
    </row>
    <row r="70" customFormat="false" ht="15" hidden="false" customHeight="false" outlineLevel="0" collapsed="false">
      <c r="A70" s="29"/>
      <c r="B70" s="30"/>
      <c r="C70" s="30"/>
      <c r="D70" s="31"/>
      <c r="E70" s="32" t="str">
        <f aca="false">IF(B70="","",IFERROR(INDEX(Kategorien!$B$5:$B$37,MATCH(B70,Kategorien!$A$5:$A$37,0)),"unbekannte Kategorie"))</f>
        <v/>
      </c>
    </row>
    <row r="71" customFormat="false" ht="15" hidden="false" customHeight="false" outlineLevel="0" collapsed="false">
      <c r="A71" s="29"/>
      <c r="B71" s="30"/>
      <c r="C71" s="30"/>
      <c r="D71" s="31"/>
      <c r="E71" s="32" t="str">
        <f aca="false">IF(B71="","",IFERROR(INDEX(Kategorien!$B$5:$B$37,MATCH(B71,Kategorien!$A$5:$A$37,0)),"unbekannte Kategorie"))</f>
        <v/>
      </c>
    </row>
    <row r="72" customFormat="false" ht="15" hidden="false" customHeight="false" outlineLevel="0" collapsed="false">
      <c r="A72" s="29"/>
      <c r="B72" s="30"/>
      <c r="C72" s="30"/>
      <c r="D72" s="31"/>
      <c r="E72" s="32" t="str">
        <f aca="false">IF(B72="","",IFERROR(INDEX(Kategorien!$B$5:$B$37,MATCH(B72,Kategorien!$A$5:$A$37,0)),"unbekannte Kategorie"))</f>
        <v/>
      </c>
    </row>
    <row r="73" customFormat="false" ht="15" hidden="false" customHeight="false" outlineLevel="0" collapsed="false">
      <c r="A73" s="29"/>
      <c r="B73" s="30"/>
      <c r="C73" s="30"/>
      <c r="D73" s="31"/>
      <c r="E73" s="32" t="str">
        <f aca="false">IF(B73="","",IFERROR(INDEX(Kategorien!$B$5:$B$37,MATCH(B73,Kategorien!$A$5:$A$37,0)),"unbekannte Kategorie"))</f>
        <v/>
      </c>
    </row>
    <row r="74" customFormat="false" ht="15" hidden="false" customHeight="false" outlineLevel="0" collapsed="false">
      <c r="A74" s="29"/>
      <c r="B74" s="30"/>
      <c r="C74" s="30"/>
      <c r="D74" s="31"/>
      <c r="E74" s="32" t="str">
        <f aca="false">IF(B74="","",IFERROR(INDEX(Kategorien!$B$5:$B$37,MATCH(B74,Kategorien!$A$5:$A$37,0)),"unbekannte Kategorie"))</f>
        <v/>
      </c>
    </row>
    <row r="75" customFormat="false" ht="15" hidden="false" customHeight="false" outlineLevel="0" collapsed="false">
      <c r="A75" s="29"/>
      <c r="B75" s="30"/>
      <c r="C75" s="30"/>
      <c r="D75" s="31"/>
      <c r="E75" s="32" t="str">
        <f aca="false">IF(B75="","",IFERROR(INDEX(Kategorien!$B$5:$B$37,MATCH(B75,Kategorien!$A$5:$A$37,0)),"unbekannte Kategorie"))</f>
        <v/>
      </c>
    </row>
    <row r="76" customFormat="false" ht="15" hidden="false" customHeight="false" outlineLevel="0" collapsed="false">
      <c r="A76" s="29"/>
      <c r="B76" s="30"/>
      <c r="C76" s="30"/>
      <c r="D76" s="31"/>
      <c r="E76" s="32" t="str">
        <f aca="false">IF(B76="","",IFERROR(INDEX(Kategorien!$B$5:$B$37,MATCH(B76,Kategorien!$A$5:$A$37,0)),"unbekannte Kategorie"))</f>
        <v/>
      </c>
    </row>
    <row r="77" customFormat="false" ht="15" hidden="false" customHeight="false" outlineLevel="0" collapsed="false">
      <c r="A77" s="29"/>
      <c r="B77" s="30"/>
      <c r="C77" s="30"/>
      <c r="D77" s="31"/>
      <c r="E77" s="32" t="str">
        <f aca="false">IF(B77="","",IFERROR(INDEX(Kategorien!$B$5:$B$37,MATCH(B77,Kategorien!$A$5:$A$37,0)),"unbekannte Kategorie"))</f>
        <v/>
      </c>
    </row>
    <row r="78" customFormat="false" ht="15" hidden="false" customHeight="false" outlineLevel="0" collapsed="false">
      <c r="A78" s="29"/>
      <c r="B78" s="30"/>
      <c r="C78" s="30"/>
      <c r="D78" s="31"/>
      <c r="E78" s="32" t="str">
        <f aca="false">IF(B78="","",IFERROR(INDEX(Kategorien!$B$5:$B$37,MATCH(B78,Kategorien!$A$5:$A$37,0)),"unbekannte Kategorie"))</f>
        <v/>
      </c>
    </row>
    <row r="79" customFormat="false" ht="15" hidden="false" customHeight="false" outlineLevel="0" collapsed="false">
      <c r="A79" s="29"/>
      <c r="B79" s="30"/>
      <c r="C79" s="30"/>
      <c r="D79" s="31"/>
      <c r="E79" s="32" t="str">
        <f aca="false">IF(B79="","",IFERROR(INDEX(Kategorien!$B$5:$B$37,MATCH(B79,Kategorien!$A$5:$A$37,0)),"unbekannte Kategorie"))</f>
        <v/>
      </c>
    </row>
    <row r="80" customFormat="false" ht="15" hidden="false" customHeight="false" outlineLevel="0" collapsed="false">
      <c r="A80" s="29"/>
      <c r="B80" s="30"/>
      <c r="C80" s="30"/>
      <c r="D80" s="31"/>
      <c r="E80" s="32" t="str">
        <f aca="false">IF(B80="","",IFERROR(INDEX(Kategorien!$B$5:$B$37,MATCH(B80,Kategorien!$A$5:$A$37,0)),"unbekannte Kategorie"))</f>
        <v/>
      </c>
    </row>
    <row r="81" customFormat="false" ht="15" hidden="false" customHeight="false" outlineLevel="0" collapsed="false">
      <c r="A81" s="29"/>
      <c r="B81" s="30"/>
      <c r="C81" s="30"/>
      <c r="D81" s="31"/>
      <c r="E81" s="32" t="str">
        <f aca="false">IF(B81="","",IFERROR(INDEX(Kategorien!$B$5:$B$37,MATCH(B81,Kategorien!$A$5:$A$37,0)),"unbekannte Kategorie"))</f>
        <v/>
      </c>
    </row>
    <row r="82" customFormat="false" ht="15" hidden="false" customHeight="false" outlineLevel="0" collapsed="false">
      <c r="A82" s="29"/>
      <c r="B82" s="30"/>
      <c r="C82" s="30"/>
      <c r="D82" s="31"/>
      <c r="E82" s="32" t="str">
        <f aca="false">IF(B82="","",IFERROR(INDEX(Kategorien!$B$5:$B$37,MATCH(B82,Kategorien!$A$5:$A$37,0)),"unbekannte Kategorie"))</f>
        <v/>
      </c>
    </row>
    <row r="83" customFormat="false" ht="15" hidden="false" customHeight="false" outlineLevel="0" collapsed="false">
      <c r="A83" s="29"/>
      <c r="B83" s="30"/>
      <c r="C83" s="30"/>
      <c r="D83" s="31"/>
      <c r="E83" s="32" t="str">
        <f aca="false">IF(B83="","",IFERROR(INDEX(Kategorien!$B$5:$B$37,MATCH(B83,Kategorien!$A$5:$A$37,0)),"unbekannte Kategorie"))</f>
        <v/>
      </c>
    </row>
    <row r="84" customFormat="false" ht="15" hidden="false" customHeight="false" outlineLevel="0" collapsed="false">
      <c r="A84" s="29"/>
      <c r="B84" s="30"/>
      <c r="C84" s="30"/>
      <c r="D84" s="31"/>
      <c r="E84" s="32" t="str">
        <f aca="false">IF(B84="","",IFERROR(INDEX(Kategorien!$B$5:$B$37,MATCH(B84,Kategorien!$A$5:$A$37,0)),"unbekannte Kategorie"))</f>
        <v/>
      </c>
    </row>
    <row r="85" customFormat="false" ht="15" hidden="false" customHeight="false" outlineLevel="0" collapsed="false">
      <c r="A85" s="29"/>
      <c r="B85" s="30"/>
      <c r="C85" s="30"/>
      <c r="D85" s="31"/>
      <c r="E85" s="32" t="str">
        <f aca="false">IF(B85="","",IFERROR(INDEX(Kategorien!$B$5:$B$37,MATCH(B85,Kategorien!$A$5:$A$37,0)),"unbekannte Kategorie"))</f>
        <v/>
      </c>
    </row>
    <row r="86" customFormat="false" ht="15" hidden="false" customHeight="false" outlineLevel="0" collapsed="false">
      <c r="A86" s="29"/>
      <c r="B86" s="30"/>
      <c r="C86" s="30"/>
      <c r="D86" s="31"/>
      <c r="E86" s="32" t="str">
        <f aca="false">IF(B86="","",IFERROR(INDEX(Kategorien!$B$5:$B$37,MATCH(B86,Kategorien!$A$5:$A$37,0)),"unbekannte Kategorie"))</f>
        <v/>
      </c>
    </row>
    <row r="87" customFormat="false" ht="15" hidden="false" customHeight="false" outlineLevel="0" collapsed="false">
      <c r="A87" s="29"/>
      <c r="B87" s="30"/>
      <c r="C87" s="30"/>
      <c r="D87" s="31"/>
      <c r="E87" s="32" t="str">
        <f aca="false">IF(B87="","",IFERROR(INDEX(Kategorien!$B$5:$B$37,MATCH(B87,Kategorien!$A$5:$A$37,0)),"unbekannte Kategorie"))</f>
        <v/>
      </c>
    </row>
    <row r="88" customFormat="false" ht="15" hidden="false" customHeight="false" outlineLevel="0" collapsed="false">
      <c r="A88" s="29"/>
      <c r="B88" s="30"/>
      <c r="C88" s="30"/>
      <c r="D88" s="31"/>
      <c r="E88" s="32" t="str">
        <f aca="false">IF(B88="","",IFERROR(INDEX(Kategorien!$B$5:$B$37,MATCH(B88,Kategorien!$A$5:$A$37,0)),"unbekannte Kategorie"))</f>
        <v/>
      </c>
    </row>
    <row r="89" customFormat="false" ht="15" hidden="false" customHeight="false" outlineLevel="0" collapsed="false">
      <c r="A89" s="29"/>
      <c r="B89" s="30"/>
      <c r="C89" s="30"/>
      <c r="D89" s="31"/>
      <c r="E89" s="32" t="str">
        <f aca="false">IF(B89="","",IFERROR(INDEX(Kategorien!$B$5:$B$37,MATCH(B89,Kategorien!$A$5:$A$37,0)),"unbekannte Kategorie"))</f>
        <v/>
      </c>
    </row>
    <row r="90" customFormat="false" ht="15" hidden="false" customHeight="false" outlineLevel="0" collapsed="false">
      <c r="A90" s="29"/>
      <c r="B90" s="30"/>
      <c r="C90" s="30"/>
      <c r="D90" s="31"/>
      <c r="E90" s="32" t="str">
        <f aca="false">IF(B90="","",IFERROR(INDEX(Kategorien!$B$5:$B$37,MATCH(B90,Kategorien!$A$5:$A$37,0)),"unbekannte Kategorie"))</f>
        <v/>
      </c>
    </row>
    <row r="91" customFormat="false" ht="15" hidden="false" customHeight="false" outlineLevel="0" collapsed="false">
      <c r="A91" s="29"/>
      <c r="B91" s="30"/>
      <c r="C91" s="30"/>
      <c r="D91" s="31"/>
      <c r="E91" s="32" t="str">
        <f aca="false">IF(B91="","",IFERROR(INDEX(Kategorien!$B$5:$B$37,MATCH(B91,Kategorien!$A$5:$A$37,0)),"unbekannte Kategorie"))</f>
        <v/>
      </c>
    </row>
    <row r="92" customFormat="false" ht="15" hidden="false" customHeight="false" outlineLevel="0" collapsed="false">
      <c r="A92" s="29"/>
      <c r="B92" s="30"/>
      <c r="C92" s="30"/>
      <c r="D92" s="31"/>
      <c r="E92" s="32" t="str">
        <f aca="false">IF(B92="","",IFERROR(INDEX(Kategorien!$B$5:$B$37,MATCH(B92,Kategorien!$A$5:$A$37,0)),"unbekannte Kategorie"))</f>
        <v/>
      </c>
    </row>
    <row r="93" customFormat="false" ht="15" hidden="false" customHeight="false" outlineLevel="0" collapsed="false">
      <c r="A93" s="29"/>
      <c r="B93" s="30"/>
      <c r="C93" s="30"/>
      <c r="D93" s="31"/>
      <c r="E93" s="32" t="str">
        <f aca="false">IF(B93="","",IFERROR(INDEX(Kategorien!$B$5:$B$37,MATCH(B93,Kategorien!$A$5:$A$37,0)),"unbekannte Kategorie"))</f>
        <v/>
      </c>
    </row>
    <row r="94" customFormat="false" ht="15" hidden="false" customHeight="false" outlineLevel="0" collapsed="false">
      <c r="A94" s="29"/>
      <c r="B94" s="30"/>
      <c r="C94" s="30"/>
      <c r="D94" s="31"/>
      <c r="E94" s="32" t="str">
        <f aca="false">IF(B94="","",IFERROR(INDEX(Kategorien!$B$5:$B$37,MATCH(B94,Kategorien!$A$5:$A$37,0)),"unbekannte Kategorie"))</f>
        <v/>
      </c>
    </row>
    <row r="95" customFormat="false" ht="15" hidden="false" customHeight="false" outlineLevel="0" collapsed="false">
      <c r="A95" s="29"/>
      <c r="B95" s="30"/>
      <c r="C95" s="30"/>
      <c r="D95" s="31"/>
      <c r="E95" s="32" t="str">
        <f aca="false">IF(B95="","",IFERROR(INDEX(Kategorien!$B$5:$B$37,MATCH(B95,Kategorien!$A$5:$A$37,0)),"unbekannte Kategorie"))</f>
        <v/>
      </c>
    </row>
    <row r="96" customFormat="false" ht="15" hidden="false" customHeight="false" outlineLevel="0" collapsed="false">
      <c r="A96" s="29"/>
      <c r="B96" s="30"/>
      <c r="C96" s="30"/>
      <c r="D96" s="31"/>
      <c r="E96" s="32" t="str">
        <f aca="false">IF(B96="","",IFERROR(INDEX(Kategorien!$B$5:$B$37,MATCH(B96,Kategorien!$A$5:$A$37,0)),"unbekannte Kategorie"))</f>
        <v/>
      </c>
    </row>
    <row r="97" customFormat="false" ht="15" hidden="false" customHeight="false" outlineLevel="0" collapsed="false">
      <c r="A97" s="29"/>
      <c r="B97" s="30"/>
      <c r="C97" s="30"/>
      <c r="D97" s="31"/>
      <c r="E97" s="32" t="str">
        <f aca="false">IF(B97="","",IFERROR(INDEX(Kategorien!$B$5:$B$37,MATCH(B97,Kategorien!$A$5:$A$37,0)),"unbekannte Kategorie"))</f>
        <v/>
      </c>
    </row>
    <row r="98" customFormat="false" ht="15" hidden="false" customHeight="false" outlineLevel="0" collapsed="false">
      <c r="A98" s="29"/>
      <c r="B98" s="30"/>
      <c r="C98" s="30"/>
      <c r="D98" s="31"/>
      <c r="E98" s="32" t="str">
        <f aca="false">IF(B98="","",IFERROR(INDEX(Kategorien!$B$5:$B$37,MATCH(B98,Kategorien!$A$5:$A$37,0)),"unbekannte Kategorie"))</f>
        <v/>
      </c>
    </row>
    <row r="99" customFormat="false" ht="15" hidden="false" customHeight="false" outlineLevel="0" collapsed="false">
      <c r="A99" s="29"/>
      <c r="B99" s="30"/>
      <c r="C99" s="30"/>
      <c r="D99" s="31"/>
      <c r="E99" s="32" t="str">
        <f aca="false">IF(B99="","",IFERROR(INDEX(Kategorien!$B$5:$B$37,MATCH(B99,Kategorien!$A$5:$A$37,0)),"unbekannte Kategorie"))</f>
        <v/>
      </c>
    </row>
    <row r="100" customFormat="false" ht="15" hidden="false" customHeight="false" outlineLevel="0" collapsed="false">
      <c r="A100" s="29"/>
      <c r="B100" s="30"/>
      <c r="C100" s="30"/>
      <c r="D100" s="31"/>
      <c r="E100" s="32" t="str">
        <f aca="false">IF(B100="","",IFERROR(INDEX(Kategorien!$B$5:$B$37,MATCH(B100,Kategorien!$A$5:$A$37,0)),"unbekannte Kategorie"))</f>
        <v/>
      </c>
    </row>
    <row r="101" customFormat="false" ht="15" hidden="false" customHeight="false" outlineLevel="0" collapsed="false">
      <c r="A101" s="29"/>
      <c r="B101" s="30"/>
      <c r="C101" s="30"/>
      <c r="D101" s="31"/>
      <c r="E101" s="32" t="str">
        <f aca="false">IF(B101="","",IFERROR(INDEX(Kategorien!$B$5:$B$37,MATCH(B101,Kategorien!$A$5:$A$37,0)),"unbekannte Kategorie"))</f>
        <v/>
      </c>
    </row>
    <row r="102" customFormat="false" ht="15" hidden="false" customHeight="false" outlineLevel="0" collapsed="false">
      <c r="A102" s="29"/>
      <c r="B102" s="30"/>
      <c r="C102" s="30"/>
      <c r="D102" s="31"/>
      <c r="E102" s="32" t="str">
        <f aca="false">IF(B102="","",IFERROR(INDEX(Kategorien!$B$5:$B$37,MATCH(B102,Kategorien!$A$5:$A$37,0)),"unbekannte Kategorie"))</f>
        <v/>
      </c>
    </row>
    <row r="103" customFormat="false" ht="15" hidden="false" customHeight="false" outlineLevel="0" collapsed="false">
      <c r="A103" s="29"/>
      <c r="B103" s="30"/>
      <c r="C103" s="30"/>
      <c r="D103" s="31"/>
      <c r="E103" s="32" t="str">
        <f aca="false">IF(B103="","",IFERROR(INDEX(Kategorien!$B$5:$B$37,MATCH(B103,Kategorien!$A$5:$A$37,0)),"unbekannte Kategorie"))</f>
        <v/>
      </c>
    </row>
    <row r="104" customFormat="false" ht="15" hidden="false" customHeight="false" outlineLevel="0" collapsed="false">
      <c r="A104" s="29"/>
      <c r="B104" s="30"/>
      <c r="C104" s="30"/>
      <c r="D104" s="31"/>
      <c r="E104" s="32" t="str">
        <f aca="false">IF(B104="","",IFERROR(INDEX(Kategorien!$B$5:$B$37,MATCH(B104,Kategorien!$A$5:$A$37,0)),"unbekannte Kategorie"))</f>
        <v/>
      </c>
    </row>
    <row r="105" customFormat="false" ht="15" hidden="false" customHeight="false" outlineLevel="0" collapsed="false">
      <c r="A105" s="29"/>
      <c r="B105" s="30"/>
      <c r="C105" s="30"/>
      <c r="D105" s="31"/>
      <c r="E105" s="32" t="str">
        <f aca="false">IF(B105="","",IFERROR(INDEX(Kategorien!$B$5:$B$37,MATCH(B105,Kategorien!$A$5:$A$37,0)),"unbekannte Kategorie"))</f>
        <v/>
      </c>
    </row>
    <row r="106" customFormat="false" ht="15" hidden="false" customHeight="false" outlineLevel="0" collapsed="false">
      <c r="A106" s="29"/>
      <c r="B106" s="30"/>
      <c r="C106" s="30"/>
      <c r="D106" s="31"/>
      <c r="E106" s="32" t="str">
        <f aca="false">IF(B106="","",IFERROR(INDEX(Kategorien!$B$5:$B$37,MATCH(B106,Kategorien!$A$5:$A$37,0)),"unbekannte Kategorie"))</f>
        <v/>
      </c>
    </row>
    <row r="107" customFormat="false" ht="15" hidden="false" customHeight="false" outlineLevel="0" collapsed="false">
      <c r="A107" s="29"/>
      <c r="B107" s="30"/>
      <c r="C107" s="30"/>
      <c r="D107" s="31"/>
      <c r="E107" s="32" t="str">
        <f aca="false">IF(B107="","",IFERROR(INDEX(Kategorien!$B$5:$B$37,MATCH(B107,Kategorien!$A$5:$A$37,0)),"unbekannte Kategorie"))</f>
        <v/>
      </c>
    </row>
    <row r="108" customFormat="false" ht="15" hidden="false" customHeight="false" outlineLevel="0" collapsed="false">
      <c r="A108" s="29"/>
      <c r="B108" s="30"/>
      <c r="C108" s="30"/>
      <c r="D108" s="31"/>
      <c r="E108" s="32" t="str">
        <f aca="false">IF(B108="","",IFERROR(INDEX(Kategorien!$B$5:$B$37,MATCH(B108,Kategorien!$A$5:$A$37,0)),"unbekannte Kategorie"))</f>
        <v/>
      </c>
    </row>
    <row r="109" customFormat="false" ht="15" hidden="false" customHeight="false" outlineLevel="0" collapsed="false">
      <c r="A109" s="29"/>
      <c r="B109" s="30"/>
      <c r="C109" s="30"/>
      <c r="D109" s="31"/>
      <c r="E109" s="32" t="str">
        <f aca="false">IF(B109="","",IFERROR(INDEX(Kategorien!$B$5:$B$37,MATCH(B109,Kategorien!$A$5:$A$37,0)),"unbekannte Kategorie"))</f>
        <v/>
      </c>
    </row>
    <row r="110" customFormat="false" ht="15" hidden="false" customHeight="false" outlineLevel="0" collapsed="false">
      <c r="A110" s="29"/>
      <c r="B110" s="30"/>
      <c r="C110" s="30"/>
      <c r="D110" s="31"/>
      <c r="E110" s="32" t="str">
        <f aca="false">IF(B110="","",IFERROR(INDEX(Kategorien!$B$5:$B$37,MATCH(B110,Kategorien!$A$5:$A$37,0)),"unbekannte Kategorie"))</f>
        <v/>
      </c>
    </row>
    <row r="111" customFormat="false" ht="15" hidden="false" customHeight="false" outlineLevel="0" collapsed="false">
      <c r="A111" s="29"/>
      <c r="B111" s="30"/>
      <c r="C111" s="30"/>
      <c r="D111" s="31"/>
      <c r="E111" s="32" t="str">
        <f aca="false">IF(B111="","",IFERROR(INDEX(Kategorien!$B$5:$B$37,MATCH(B111,Kategorien!$A$5:$A$37,0)),"unbekannte Kategorie"))</f>
        <v/>
      </c>
    </row>
    <row r="112" customFormat="false" ht="15" hidden="false" customHeight="false" outlineLevel="0" collapsed="false">
      <c r="A112" s="29"/>
      <c r="B112" s="30"/>
      <c r="C112" s="30"/>
      <c r="D112" s="31"/>
      <c r="E112" s="32" t="str">
        <f aca="false">IF(B112="","",IFERROR(INDEX(Kategorien!$B$5:$B$37,MATCH(B112,Kategorien!$A$5:$A$37,0)),"unbekannte Kategorie"))</f>
        <v/>
      </c>
    </row>
    <row r="113" customFormat="false" ht="15" hidden="false" customHeight="false" outlineLevel="0" collapsed="false">
      <c r="A113" s="29"/>
      <c r="B113" s="30"/>
      <c r="C113" s="30"/>
      <c r="D113" s="31"/>
      <c r="E113" s="32" t="str">
        <f aca="false">IF(B113="","",IFERROR(INDEX(Kategorien!$B$5:$B$37,MATCH(B113,Kategorien!$A$5:$A$37,0)),"unbekannte Kategorie"))</f>
        <v/>
      </c>
    </row>
    <row r="114" customFormat="false" ht="15" hidden="false" customHeight="false" outlineLevel="0" collapsed="false">
      <c r="A114" s="29"/>
      <c r="B114" s="30"/>
      <c r="C114" s="30"/>
      <c r="D114" s="31"/>
      <c r="E114" s="32" t="str">
        <f aca="false">IF(B114="","",IFERROR(INDEX(Kategorien!$B$5:$B$37,MATCH(B114,Kategorien!$A$5:$A$37,0)),"unbekannte Kategorie"))</f>
        <v/>
      </c>
    </row>
    <row r="115" customFormat="false" ht="15" hidden="false" customHeight="false" outlineLevel="0" collapsed="false">
      <c r="A115" s="29"/>
      <c r="B115" s="30"/>
      <c r="C115" s="30"/>
      <c r="D115" s="31"/>
      <c r="E115" s="32" t="str">
        <f aca="false">IF(B115="","",IFERROR(INDEX(Kategorien!$B$5:$B$37,MATCH(B115,Kategorien!$A$5:$A$37,0)),"unbekannte Kategorie"))</f>
        <v/>
      </c>
    </row>
    <row r="116" customFormat="false" ht="15" hidden="false" customHeight="false" outlineLevel="0" collapsed="false">
      <c r="A116" s="29"/>
      <c r="B116" s="30"/>
      <c r="C116" s="30"/>
      <c r="D116" s="31"/>
      <c r="E116" s="32" t="str">
        <f aca="false">IF(B116="","",IFERROR(INDEX(Kategorien!$B$5:$B$37,MATCH(B116,Kategorien!$A$5:$A$37,0)),"unbekannte Kategorie"))</f>
        <v/>
      </c>
    </row>
    <row r="117" customFormat="false" ht="15" hidden="false" customHeight="false" outlineLevel="0" collapsed="false">
      <c r="A117" s="29"/>
      <c r="B117" s="30"/>
      <c r="C117" s="30"/>
      <c r="D117" s="31"/>
      <c r="E117" s="32" t="str">
        <f aca="false">IF(B117="","",IFERROR(INDEX(Kategorien!$B$5:$B$37,MATCH(B117,Kategorien!$A$5:$A$37,0)),"unbekannte Kategorie"))</f>
        <v/>
      </c>
    </row>
    <row r="118" customFormat="false" ht="15" hidden="false" customHeight="false" outlineLevel="0" collapsed="false">
      <c r="A118" s="29"/>
      <c r="B118" s="30"/>
      <c r="C118" s="30"/>
      <c r="D118" s="31"/>
      <c r="E118" s="32" t="str">
        <f aca="false">IF(B118="","",IFERROR(INDEX(Kategorien!$B$5:$B$37,MATCH(B118,Kategorien!$A$5:$A$37,0)),"unbekannte Kategorie"))</f>
        <v/>
      </c>
    </row>
    <row r="119" customFormat="false" ht="15" hidden="false" customHeight="false" outlineLevel="0" collapsed="false">
      <c r="A119" s="29"/>
      <c r="B119" s="30"/>
      <c r="C119" s="30"/>
      <c r="D119" s="31"/>
      <c r="E119" s="32" t="str">
        <f aca="false">IF(B119="","",IFERROR(INDEX(Kategorien!$B$5:$B$37,MATCH(B119,Kategorien!$A$5:$A$37,0)),"unbekannte Kategorie"))</f>
        <v/>
      </c>
    </row>
    <row r="120" customFormat="false" ht="15" hidden="false" customHeight="false" outlineLevel="0" collapsed="false">
      <c r="A120" s="29"/>
      <c r="B120" s="30"/>
      <c r="C120" s="30"/>
      <c r="D120" s="31"/>
      <c r="E120" s="32" t="str">
        <f aca="false">IF(B120="","",IFERROR(INDEX(Kategorien!$B$5:$B$37,MATCH(B120,Kategorien!$A$5:$A$37,0)),"unbekannte Kategorie"))</f>
        <v/>
      </c>
    </row>
    <row r="121" customFormat="false" ht="15" hidden="false" customHeight="false" outlineLevel="0" collapsed="false">
      <c r="A121" s="29"/>
      <c r="B121" s="30"/>
      <c r="C121" s="30"/>
      <c r="D121" s="31"/>
      <c r="E121" s="32" t="str">
        <f aca="false">IF(B121="","",IFERROR(INDEX(Kategorien!$B$5:$B$37,MATCH(B121,Kategorien!$A$5:$A$37,0)),"unbekannte Kategorie"))</f>
        <v/>
      </c>
    </row>
    <row r="122" customFormat="false" ht="15" hidden="false" customHeight="false" outlineLevel="0" collapsed="false">
      <c r="A122" s="29"/>
      <c r="B122" s="30"/>
      <c r="C122" s="30"/>
      <c r="D122" s="31"/>
      <c r="E122" s="32" t="str">
        <f aca="false">IF(B122="","",IFERROR(INDEX(Kategorien!$B$5:$B$37,MATCH(B122,Kategorien!$A$5:$A$37,0)),"unbekannte Kategorie"))</f>
        <v/>
      </c>
    </row>
    <row r="123" customFormat="false" ht="15" hidden="false" customHeight="false" outlineLevel="0" collapsed="false">
      <c r="A123" s="29"/>
      <c r="B123" s="30"/>
      <c r="C123" s="30"/>
      <c r="D123" s="31"/>
      <c r="E123" s="32" t="str">
        <f aca="false">IF(B123="","",IFERROR(INDEX(Kategorien!$B$5:$B$37,MATCH(B123,Kategorien!$A$5:$A$37,0)),"unbekannte Kategorie"))</f>
        <v/>
      </c>
    </row>
    <row r="124" customFormat="false" ht="15" hidden="false" customHeight="false" outlineLevel="0" collapsed="false">
      <c r="A124" s="29"/>
      <c r="B124" s="30"/>
      <c r="C124" s="30"/>
      <c r="D124" s="31"/>
      <c r="E124" s="32" t="str">
        <f aca="false">IF(B124="","",IFERROR(INDEX(Kategorien!$B$5:$B$37,MATCH(B124,Kategorien!$A$5:$A$37,0)),"unbekannte Kategorie"))</f>
        <v/>
      </c>
    </row>
    <row r="125" customFormat="false" ht="15" hidden="false" customHeight="false" outlineLevel="0" collapsed="false">
      <c r="A125" s="29"/>
      <c r="B125" s="30"/>
      <c r="C125" s="30"/>
      <c r="D125" s="31"/>
      <c r="E125" s="32" t="str">
        <f aca="false">IF(B125="","",IFERROR(INDEX(Kategorien!$B$5:$B$37,MATCH(B125,Kategorien!$A$5:$A$37,0)),"unbekannte Kategorie"))</f>
        <v/>
      </c>
    </row>
    <row r="126" customFormat="false" ht="15" hidden="false" customHeight="false" outlineLevel="0" collapsed="false">
      <c r="A126" s="29"/>
      <c r="B126" s="30"/>
      <c r="C126" s="30"/>
      <c r="D126" s="31"/>
      <c r="E126" s="32" t="str">
        <f aca="false">IF(B126="","",IFERROR(INDEX(Kategorien!$B$5:$B$37,MATCH(B126,Kategorien!$A$5:$A$37,0)),"unbekannte Kategorie"))</f>
        <v/>
      </c>
    </row>
    <row r="127" customFormat="false" ht="15" hidden="false" customHeight="false" outlineLevel="0" collapsed="false">
      <c r="A127" s="29"/>
      <c r="B127" s="30"/>
      <c r="C127" s="30"/>
      <c r="D127" s="31"/>
      <c r="E127" s="32" t="str">
        <f aca="false">IF(B127="","",IFERROR(INDEX(Kategorien!$B$5:$B$37,MATCH(B127,Kategorien!$A$5:$A$37,0)),"unbekannte Kategorie"))</f>
        <v/>
      </c>
    </row>
    <row r="128" customFormat="false" ht="15" hidden="false" customHeight="false" outlineLevel="0" collapsed="false">
      <c r="A128" s="29"/>
      <c r="B128" s="30"/>
      <c r="C128" s="30"/>
      <c r="D128" s="31"/>
      <c r="E128" s="32" t="str">
        <f aca="false">IF(B128="","",IFERROR(INDEX(Kategorien!$B$5:$B$37,MATCH(B128,Kategorien!$A$5:$A$37,0)),"unbekannte Kategorie"))</f>
        <v/>
      </c>
    </row>
    <row r="129" customFormat="false" ht="15" hidden="false" customHeight="false" outlineLevel="0" collapsed="false">
      <c r="A129" s="29"/>
      <c r="B129" s="30"/>
      <c r="C129" s="30"/>
      <c r="D129" s="31"/>
      <c r="E129" s="32" t="str">
        <f aca="false">IF(B129="","",IFERROR(INDEX(Kategorien!$B$5:$B$37,MATCH(B129,Kategorien!$A$5:$A$37,0)),"unbekannte Kategorie"))</f>
        <v/>
      </c>
    </row>
    <row r="130" customFormat="false" ht="15" hidden="false" customHeight="false" outlineLevel="0" collapsed="false">
      <c r="A130" s="29"/>
      <c r="B130" s="30"/>
      <c r="C130" s="30"/>
      <c r="D130" s="31"/>
      <c r="E130" s="32" t="str">
        <f aca="false">IF(B130="","",IFERROR(INDEX(Kategorien!$B$5:$B$37,MATCH(B130,Kategorien!$A$5:$A$37,0)),"unbekannte Kategorie"))</f>
        <v/>
      </c>
    </row>
    <row r="131" customFormat="false" ht="15" hidden="false" customHeight="false" outlineLevel="0" collapsed="false">
      <c r="A131" s="29"/>
      <c r="B131" s="30"/>
      <c r="C131" s="30"/>
      <c r="D131" s="31"/>
      <c r="E131" s="32" t="str">
        <f aca="false">IF(B131="","",IFERROR(INDEX(Kategorien!$B$5:$B$37,MATCH(B131,Kategorien!$A$5:$A$37,0)),"unbekannte Kategorie"))</f>
        <v/>
      </c>
    </row>
    <row r="132" customFormat="false" ht="15" hidden="false" customHeight="false" outlineLevel="0" collapsed="false">
      <c r="A132" s="29"/>
      <c r="B132" s="30"/>
      <c r="C132" s="30"/>
      <c r="D132" s="31"/>
      <c r="E132" s="32" t="str">
        <f aca="false">IF(B132="","",IFERROR(INDEX(Kategorien!$B$5:$B$37,MATCH(B132,Kategorien!$A$5:$A$37,0)),"unbekannte Kategorie"))</f>
        <v/>
      </c>
    </row>
    <row r="133" customFormat="false" ht="15" hidden="false" customHeight="false" outlineLevel="0" collapsed="false">
      <c r="A133" s="29"/>
      <c r="B133" s="30"/>
      <c r="C133" s="30"/>
      <c r="D133" s="31"/>
      <c r="E133" s="32" t="str">
        <f aca="false">IF(B133="","",IFERROR(INDEX(Kategorien!$B$5:$B$37,MATCH(B133,Kategorien!$A$5:$A$37,0)),"unbekannte Kategorie"))</f>
        <v/>
      </c>
    </row>
    <row r="134" customFormat="false" ht="15" hidden="false" customHeight="false" outlineLevel="0" collapsed="false">
      <c r="A134" s="29"/>
      <c r="B134" s="30"/>
      <c r="C134" s="30"/>
      <c r="D134" s="31"/>
      <c r="E134" s="32" t="str">
        <f aca="false">IF(B134="","",IFERROR(INDEX(Kategorien!$B$5:$B$37,MATCH(B134,Kategorien!$A$5:$A$37,0)),"unbekannte Kategorie"))</f>
        <v/>
      </c>
    </row>
    <row r="135" customFormat="false" ht="15" hidden="false" customHeight="false" outlineLevel="0" collapsed="false">
      <c r="A135" s="29"/>
      <c r="B135" s="30"/>
      <c r="C135" s="30"/>
      <c r="D135" s="31"/>
      <c r="E135" s="32" t="str">
        <f aca="false">IF(B135="","",IFERROR(INDEX(Kategorien!$B$5:$B$37,MATCH(B135,Kategorien!$A$5:$A$37,0)),"unbekannte Kategorie"))</f>
        <v/>
      </c>
    </row>
    <row r="136" customFormat="false" ht="15" hidden="false" customHeight="false" outlineLevel="0" collapsed="false">
      <c r="A136" s="29"/>
      <c r="B136" s="30"/>
      <c r="C136" s="30"/>
      <c r="D136" s="31"/>
      <c r="E136" s="32" t="str">
        <f aca="false">IF(B136="","",IFERROR(INDEX(Kategorien!$B$5:$B$37,MATCH(B136,Kategorien!$A$5:$A$37,0)),"unbekannte Kategorie"))</f>
        <v/>
      </c>
    </row>
    <row r="137" customFormat="false" ht="15" hidden="false" customHeight="false" outlineLevel="0" collapsed="false">
      <c r="A137" s="29"/>
      <c r="B137" s="30"/>
      <c r="C137" s="30"/>
      <c r="D137" s="31"/>
      <c r="E137" s="32" t="str">
        <f aca="false">IF(B137="","",IFERROR(INDEX(Kategorien!$B$5:$B$37,MATCH(B137,Kategorien!$A$5:$A$37,0)),"unbekannte Kategorie"))</f>
        <v/>
      </c>
    </row>
    <row r="138" customFormat="false" ht="15" hidden="false" customHeight="false" outlineLevel="0" collapsed="false">
      <c r="A138" s="29"/>
      <c r="B138" s="30"/>
      <c r="C138" s="30"/>
      <c r="D138" s="31"/>
      <c r="E138" s="32" t="str">
        <f aca="false">IF(B138="","",IFERROR(INDEX(Kategorien!$B$5:$B$37,MATCH(B138,Kategorien!$A$5:$A$37,0)),"unbekannte Kategorie"))</f>
        <v/>
      </c>
    </row>
    <row r="139" customFormat="false" ht="15" hidden="false" customHeight="false" outlineLevel="0" collapsed="false">
      <c r="A139" s="29"/>
      <c r="B139" s="30"/>
      <c r="C139" s="30"/>
      <c r="D139" s="31"/>
      <c r="E139" s="32" t="str">
        <f aca="false">IF(B139="","",IFERROR(INDEX(Kategorien!$B$5:$B$37,MATCH(B139,Kategorien!$A$5:$A$37,0)),"unbekannte Kategorie"))</f>
        <v/>
      </c>
    </row>
    <row r="140" customFormat="false" ht="15" hidden="false" customHeight="false" outlineLevel="0" collapsed="false">
      <c r="A140" s="29"/>
      <c r="B140" s="30"/>
      <c r="C140" s="30"/>
      <c r="D140" s="31"/>
      <c r="E140" s="32" t="str">
        <f aca="false">IF(B140="","",IFERROR(INDEX(Kategorien!$B$5:$B$37,MATCH(B140,Kategorien!$A$5:$A$37,0)),"unbekannte Kategorie"))</f>
        <v/>
      </c>
    </row>
    <row r="141" customFormat="false" ht="15" hidden="false" customHeight="false" outlineLevel="0" collapsed="false">
      <c r="A141" s="29"/>
      <c r="B141" s="30"/>
      <c r="C141" s="30"/>
      <c r="D141" s="31"/>
      <c r="E141" s="32" t="str">
        <f aca="false">IF(B141="","",IFERROR(INDEX(Kategorien!$B$5:$B$37,MATCH(B141,Kategorien!$A$5:$A$37,0)),"unbekannte Kategorie"))</f>
        <v/>
      </c>
    </row>
    <row r="142" customFormat="false" ht="15" hidden="false" customHeight="false" outlineLevel="0" collapsed="false">
      <c r="A142" s="29"/>
      <c r="B142" s="30"/>
      <c r="C142" s="30"/>
      <c r="D142" s="31"/>
      <c r="E142" s="32" t="str">
        <f aca="false">IF(B142="","",IFERROR(INDEX(Kategorien!$B$5:$B$37,MATCH(B142,Kategorien!$A$5:$A$37,0)),"unbekannte Kategorie"))</f>
        <v/>
      </c>
    </row>
    <row r="143" customFormat="false" ht="15" hidden="false" customHeight="false" outlineLevel="0" collapsed="false">
      <c r="A143" s="29"/>
      <c r="B143" s="30"/>
      <c r="C143" s="30"/>
      <c r="D143" s="31"/>
      <c r="E143" s="32" t="str">
        <f aca="false">IF(B143="","",IFERROR(INDEX(Kategorien!$B$5:$B$37,MATCH(B143,Kategorien!$A$5:$A$37,0)),"unbekannte Kategorie"))</f>
        <v/>
      </c>
    </row>
    <row r="144" customFormat="false" ht="15" hidden="false" customHeight="false" outlineLevel="0" collapsed="false">
      <c r="A144" s="29"/>
      <c r="B144" s="30"/>
      <c r="C144" s="30"/>
      <c r="D144" s="31"/>
      <c r="E144" s="32" t="str">
        <f aca="false">IF(B144="","",IFERROR(INDEX(Kategorien!$B$5:$B$37,MATCH(B144,Kategorien!$A$5:$A$37,0)),"unbekannte Kategorie"))</f>
        <v/>
      </c>
    </row>
    <row r="145" customFormat="false" ht="15" hidden="false" customHeight="false" outlineLevel="0" collapsed="false">
      <c r="A145" s="29"/>
      <c r="B145" s="30"/>
      <c r="C145" s="30"/>
      <c r="D145" s="31"/>
      <c r="E145" s="32" t="str">
        <f aca="false">IF(B145="","",IFERROR(INDEX(Kategorien!$B$5:$B$37,MATCH(B145,Kategorien!$A$5:$A$37,0)),"unbekannte Kategorie"))</f>
        <v/>
      </c>
    </row>
    <row r="146" customFormat="false" ht="15" hidden="false" customHeight="false" outlineLevel="0" collapsed="false">
      <c r="A146" s="29"/>
      <c r="B146" s="30"/>
      <c r="C146" s="30"/>
      <c r="D146" s="31"/>
      <c r="E146" s="32" t="str">
        <f aca="false">IF(B146="","",IFERROR(INDEX(Kategorien!$B$5:$B$37,MATCH(B146,Kategorien!$A$5:$A$37,0)),"unbekannte Kategorie"))</f>
        <v/>
      </c>
    </row>
    <row r="147" customFormat="false" ht="15" hidden="false" customHeight="false" outlineLevel="0" collapsed="false">
      <c r="A147" s="29"/>
      <c r="B147" s="30"/>
      <c r="C147" s="30"/>
      <c r="D147" s="31"/>
      <c r="E147" s="32" t="str">
        <f aca="false">IF(B147="","",IFERROR(INDEX(Kategorien!$B$5:$B$37,MATCH(B147,Kategorien!$A$5:$A$37,0)),"unbekannte Kategorie"))</f>
        <v/>
      </c>
    </row>
    <row r="148" customFormat="false" ht="15" hidden="false" customHeight="false" outlineLevel="0" collapsed="false">
      <c r="A148" s="29"/>
      <c r="B148" s="30"/>
      <c r="C148" s="30"/>
      <c r="D148" s="31"/>
      <c r="E148" s="32" t="str">
        <f aca="false">IF(B148="","",IFERROR(INDEX(Kategorien!$B$5:$B$37,MATCH(B148,Kategorien!$A$5:$A$37,0)),"unbekannte Kategorie"))</f>
        <v/>
      </c>
    </row>
    <row r="149" customFormat="false" ht="15" hidden="false" customHeight="false" outlineLevel="0" collapsed="false">
      <c r="A149" s="29"/>
      <c r="B149" s="30"/>
      <c r="C149" s="30"/>
      <c r="D149" s="31"/>
      <c r="E149" s="32" t="str">
        <f aca="false">IF(B149="","",IFERROR(INDEX(Kategorien!$B$5:$B$37,MATCH(B149,Kategorien!$A$5:$A$37,0)),"unbekannte Kategorie"))</f>
        <v/>
      </c>
    </row>
    <row r="150" customFormat="false" ht="15" hidden="false" customHeight="false" outlineLevel="0" collapsed="false">
      <c r="A150" s="29"/>
      <c r="B150" s="30"/>
      <c r="C150" s="30"/>
      <c r="D150" s="31"/>
      <c r="E150" s="32" t="str">
        <f aca="false">IF(B150="","",IFERROR(INDEX(Kategorien!$B$5:$B$37,MATCH(B150,Kategorien!$A$5:$A$37,0)),"unbekannte Kategorie"))</f>
        <v/>
      </c>
    </row>
    <row r="151" customFormat="false" ht="15" hidden="false" customHeight="false" outlineLevel="0" collapsed="false">
      <c r="A151" s="29"/>
      <c r="B151" s="30"/>
      <c r="C151" s="30"/>
      <c r="D151" s="31"/>
      <c r="E151" s="32" t="str">
        <f aca="false">IF(B151="","",IFERROR(INDEX(Kategorien!$B$5:$B$37,MATCH(B151,Kategorien!$A$5:$A$37,0)),"unbekannte Kategorie"))</f>
        <v/>
      </c>
    </row>
    <row r="152" customFormat="false" ht="15" hidden="false" customHeight="false" outlineLevel="0" collapsed="false">
      <c r="A152" s="29"/>
      <c r="B152" s="30"/>
      <c r="C152" s="30"/>
      <c r="D152" s="31"/>
      <c r="E152" s="32" t="str">
        <f aca="false">IF(B152="","",IFERROR(INDEX(Kategorien!$B$5:$B$37,MATCH(B152,Kategorien!$A$5:$A$37,0)),"unbekannte Kategorie"))</f>
        <v/>
      </c>
    </row>
    <row r="153" customFormat="false" ht="15" hidden="false" customHeight="false" outlineLevel="0" collapsed="false">
      <c r="A153" s="29"/>
      <c r="B153" s="30"/>
      <c r="C153" s="30"/>
      <c r="D153" s="31"/>
      <c r="E153" s="32" t="str">
        <f aca="false">IF(B153="","",IFERROR(INDEX(Kategorien!$B$5:$B$37,MATCH(B153,Kategorien!$A$5:$A$37,0)),"unbekannte Kategorie"))</f>
        <v/>
      </c>
    </row>
    <row r="154" customFormat="false" ht="15" hidden="false" customHeight="false" outlineLevel="0" collapsed="false">
      <c r="A154" s="29"/>
      <c r="B154" s="30"/>
      <c r="C154" s="30"/>
      <c r="D154" s="31"/>
      <c r="E154" s="32" t="str">
        <f aca="false">IF(B154="","",IFERROR(INDEX(Kategorien!$B$5:$B$37,MATCH(B154,Kategorien!$A$5:$A$37,0)),"unbekannte Kategorie"))</f>
        <v/>
      </c>
    </row>
    <row r="155" customFormat="false" ht="15" hidden="false" customHeight="false" outlineLevel="0" collapsed="false">
      <c r="A155" s="29"/>
      <c r="B155" s="30"/>
      <c r="C155" s="30"/>
      <c r="D155" s="31"/>
      <c r="E155" s="32" t="str">
        <f aca="false">IF(B155="","",IFERROR(INDEX(Kategorien!$B$5:$B$37,MATCH(B155,Kategorien!$A$5:$A$37,0)),"unbekannte Kategorie"))</f>
        <v/>
      </c>
    </row>
    <row r="156" customFormat="false" ht="15" hidden="false" customHeight="false" outlineLevel="0" collapsed="false">
      <c r="A156" s="29"/>
      <c r="B156" s="30"/>
      <c r="C156" s="30"/>
      <c r="D156" s="31"/>
      <c r="E156" s="32" t="str">
        <f aca="false">IF(B156="","",IFERROR(INDEX(Kategorien!$B$5:$B$37,MATCH(B156,Kategorien!$A$5:$A$37,0)),"unbekannte Kategorie"))</f>
        <v/>
      </c>
    </row>
    <row r="157" customFormat="false" ht="15" hidden="false" customHeight="false" outlineLevel="0" collapsed="false">
      <c r="A157" s="29"/>
      <c r="B157" s="30"/>
      <c r="C157" s="30"/>
      <c r="D157" s="31"/>
      <c r="E157" s="32" t="str">
        <f aca="false">IF(B157="","",IFERROR(INDEX(Kategorien!$B$5:$B$37,MATCH(B157,Kategorien!$A$5:$A$37,0)),"unbekannte Kategorie"))</f>
        <v/>
      </c>
    </row>
    <row r="158" customFormat="false" ht="15" hidden="false" customHeight="false" outlineLevel="0" collapsed="false">
      <c r="A158" s="29"/>
      <c r="B158" s="30"/>
      <c r="C158" s="30"/>
      <c r="D158" s="31"/>
      <c r="E158" s="32" t="str">
        <f aca="false">IF(B158="","",IFERROR(INDEX(Kategorien!$B$5:$B$37,MATCH(B158,Kategorien!$A$5:$A$37,0)),"unbekannte Kategorie"))</f>
        <v/>
      </c>
    </row>
    <row r="159" customFormat="false" ht="15" hidden="false" customHeight="false" outlineLevel="0" collapsed="false">
      <c r="A159" s="29"/>
      <c r="B159" s="30"/>
      <c r="C159" s="30"/>
      <c r="D159" s="31"/>
      <c r="E159" s="32" t="str">
        <f aca="false">IF(B159="","",IFERROR(INDEX(Kategorien!$B$5:$B$37,MATCH(B159,Kategorien!$A$5:$A$37,0)),"unbekannte Kategorie"))</f>
        <v/>
      </c>
    </row>
    <row r="160" customFormat="false" ht="15" hidden="false" customHeight="false" outlineLevel="0" collapsed="false">
      <c r="A160" s="29"/>
      <c r="B160" s="30"/>
      <c r="C160" s="30"/>
      <c r="D160" s="31"/>
      <c r="E160" s="32" t="str">
        <f aca="false">IF(B160="","",IFERROR(INDEX(Kategorien!$B$5:$B$37,MATCH(B160,Kategorien!$A$5:$A$37,0)),"unbekannte Kategorie"))</f>
        <v/>
      </c>
    </row>
    <row r="161" customFormat="false" ht="15" hidden="false" customHeight="false" outlineLevel="0" collapsed="false">
      <c r="A161" s="29"/>
      <c r="B161" s="30"/>
      <c r="C161" s="30"/>
      <c r="D161" s="31"/>
      <c r="E161" s="32" t="str">
        <f aca="false">IF(B161="","",IFERROR(INDEX(Kategorien!$B$5:$B$37,MATCH(B161,Kategorien!$A$5:$A$37,0)),"unbekannte Kategorie"))</f>
        <v/>
      </c>
    </row>
    <row r="162" customFormat="false" ht="15" hidden="false" customHeight="false" outlineLevel="0" collapsed="false">
      <c r="A162" s="29"/>
      <c r="B162" s="30"/>
      <c r="C162" s="30"/>
      <c r="D162" s="31"/>
      <c r="E162" s="32" t="str">
        <f aca="false">IF(B162="","",IFERROR(INDEX(Kategorien!$B$5:$B$37,MATCH(B162,Kategorien!$A$5:$A$37,0)),"unbekannte Kategorie"))</f>
        <v/>
      </c>
    </row>
    <row r="163" customFormat="false" ht="15" hidden="false" customHeight="false" outlineLevel="0" collapsed="false">
      <c r="A163" s="29"/>
      <c r="B163" s="30"/>
      <c r="C163" s="30"/>
      <c r="D163" s="31"/>
      <c r="E163" s="32" t="str">
        <f aca="false">IF(B163="","",IFERROR(INDEX(Kategorien!$B$5:$B$37,MATCH(B163,Kategorien!$A$5:$A$37,0)),"unbekannte Kategorie"))</f>
        <v/>
      </c>
    </row>
    <row r="164" customFormat="false" ht="15" hidden="false" customHeight="false" outlineLevel="0" collapsed="false">
      <c r="A164" s="29"/>
      <c r="B164" s="30"/>
      <c r="C164" s="30"/>
      <c r="D164" s="31"/>
      <c r="E164" s="32" t="str">
        <f aca="false">IF(B164="","",IFERROR(INDEX(Kategorien!$B$5:$B$37,MATCH(B164,Kategorien!$A$5:$A$37,0)),"unbekannte Kategorie"))</f>
        <v/>
      </c>
    </row>
    <row r="165" customFormat="false" ht="15" hidden="false" customHeight="false" outlineLevel="0" collapsed="false">
      <c r="A165" s="29"/>
      <c r="B165" s="30"/>
      <c r="C165" s="30"/>
      <c r="D165" s="31"/>
      <c r="E165" s="32" t="str">
        <f aca="false">IF(B165="","",IFERROR(INDEX(Kategorien!$B$5:$B$37,MATCH(B165,Kategorien!$A$5:$A$37,0)),"unbekannte Kategorie"))</f>
        <v/>
      </c>
    </row>
    <row r="166" customFormat="false" ht="15" hidden="false" customHeight="false" outlineLevel="0" collapsed="false">
      <c r="A166" s="29"/>
      <c r="B166" s="30"/>
      <c r="C166" s="30"/>
      <c r="D166" s="31"/>
      <c r="E166" s="32" t="str">
        <f aca="false">IF(B166="","",IFERROR(INDEX(Kategorien!$B$5:$B$37,MATCH(B166,Kategorien!$A$5:$A$37,0)),"unbekannte Kategorie"))</f>
        <v/>
      </c>
    </row>
    <row r="167" customFormat="false" ht="15" hidden="false" customHeight="false" outlineLevel="0" collapsed="false">
      <c r="A167" s="29"/>
      <c r="B167" s="30"/>
      <c r="C167" s="30"/>
      <c r="D167" s="31"/>
      <c r="E167" s="32" t="str">
        <f aca="false">IF(B167="","",IFERROR(INDEX(Kategorien!$B$5:$B$37,MATCH(B167,Kategorien!$A$5:$A$37,0)),"unbekannte Kategorie"))</f>
        <v/>
      </c>
    </row>
    <row r="168" customFormat="false" ht="15" hidden="false" customHeight="false" outlineLevel="0" collapsed="false">
      <c r="A168" s="29"/>
      <c r="B168" s="30"/>
      <c r="C168" s="30"/>
      <c r="D168" s="31"/>
      <c r="E168" s="32" t="str">
        <f aca="false">IF(B168="","",IFERROR(INDEX(Kategorien!$B$5:$B$37,MATCH(B168,Kategorien!$A$5:$A$37,0)),"unbekannte Kategorie"))</f>
        <v/>
      </c>
    </row>
    <row r="169" customFormat="false" ht="15" hidden="false" customHeight="false" outlineLevel="0" collapsed="false">
      <c r="A169" s="29"/>
      <c r="B169" s="30"/>
      <c r="C169" s="30"/>
      <c r="D169" s="31"/>
      <c r="E169" s="32" t="str">
        <f aca="false">IF(B169="","",IFERROR(INDEX(Kategorien!$B$5:$B$37,MATCH(B169,Kategorien!$A$5:$A$37,0)),"unbekannte Kategorie"))</f>
        <v/>
      </c>
    </row>
    <row r="170" customFormat="false" ht="15" hidden="false" customHeight="false" outlineLevel="0" collapsed="false">
      <c r="A170" s="29"/>
      <c r="B170" s="30"/>
      <c r="C170" s="30"/>
      <c r="D170" s="31"/>
      <c r="E170" s="32" t="str">
        <f aca="false">IF(B170="","",IFERROR(INDEX(Kategorien!$B$5:$B$37,MATCH(B170,Kategorien!$A$5:$A$37,0)),"unbekannte Kategorie"))</f>
        <v/>
      </c>
    </row>
    <row r="171" customFormat="false" ht="15" hidden="false" customHeight="false" outlineLevel="0" collapsed="false">
      <c r="A171" s="29"/>
      <c r="B171" s="30"/>
      <c r="C171" s="30"/>
      <c r="D171" s="31"/>
      <c r="E171" s="32" t="str">
        <f aca="false">IF(B171="","",IFERROR(INDEX(Kategorien!$B$5:$B$37,MATCH(B171,Kategorien!$A$5:$A$37,0)),"unbekannte Kategorie"))</f>
        <v/>
      </c>
    </row>
    <row r="172" customFormat="false" ht="15" hidden="false" customHeight="false" outlineLevel="0" collapsed="false">
      <c r="A172" s="29"/>
      <c r="B172" s="30"/>
      <c r="C172" s="30"/>
      <c r="D172" s="31"/>
      <c r="E172" s="32" t="str">
        <f aca="false">IF(B172="","",IFERROR(INDEX(Kategorien!$B$5:$B$37,MATCH(B172,Kategorien!$A$5:$A$37,0)),"unbekannte Kategorie"))</f>
        <v/>
      </c>
    </row>
    <row r="173" customFormat="false" ht="15" hidden="false" customHeight="false" outlineLevel="0" collapsed="false">
      <c r="A173" s="29"/>
      <c r="B173" s="30"/>
      <c r="C173" s="30"/>
      <c r="D173" s="31"/>
      <c r="E173" s="32" t="str">
        <f aca="false">IF(B173="","",IFERROR(INDEX(Kategorien!$B$5:$B$37,MATCH(B173,Kategorien!$A$5:$A$37,0)),"unbekannte Kategorie"))</f>
        <v/>
      </c>
    </row>
    <row r="174" customFormat="false" ht="15" hidden="false" customHeight="false" outlineLevel="0" collapsed="false">
      <c r="A174" s="29"/>
      <c r="B174" s="30"/>
      <c r="C174" s="30"/>
      <c r="D174" s="31"/>
      <c r="E174" s="32" t="str">
        <f aca="false">IF(B174="","",IFERROR(INDEX(Kategorien!$B$5:$B$37,MATCH(B174,Kategorien!$A$5:$A$37,0)),"unbekannte Kategorie"))</f>
        <v/>
      </c>
    </row>
    <row r="175" customFormat="false" ht="15" hidden="false" customHeight="false" outlineLevel="0" collapsed="false">
      <c r="A175" s="29"/>
      <c r="B175" s="30"/>
      <c r="C175" s="30"/>
      <c r="D175" s="31"/>
      <c r="E175" s="32" t="str">
        <f aca="false">IF(B175="","",IFERROR(INDEX(Kategorien!$B$5:$B$37,MATCH(B175,Kategorien!$A$5:$A$37,0)),"unbekannte Kategorie"))</f>
        <v/>
      </c>
    </row>
    <row r="176" customFormat="false" ht="15" hidden="false" customHeight="false" outlineLevel="0" collapsed="false">
      <c r="A176" s="29"/>
      <c r="B176" s="30"/>
      <c r="C176" s="30"/>
      <c r="D176" s="31"/>
      <c r="E176" s="32" t="str">
        <f aca="false">IF(B176="","",IFERROR(INDEX(Kategorien!$B$5:$B$37,MATCH(B176,Kategorien!$A$5:$A$37,0)),"unbekannte Kategorie"))</f>
        <v/>
      </c>
    </row>
    <row r="177" customFormat="false" ht="15" hidden="false" customHeight="false" outlineLevel="0" collapsed="false">
      <c r="A177" s="29"/>
      <c r="B177" s="30"/>
      <c r="C177" s="30"/>
      <c r="D177" s="31"/>
      <c r="E177" s="32" t="str">
        <f aca="false">IF(B177="","",IFERROR(INDEX(Kategorien!$B$5:$B$37,MATCH(B177,Kategorien!$A$5:$A$37,0)),"unbekannte Kategorie"))</f>
        <v/>
      </c>
    </row>
    <row r="178" customFormat="false" ht="15" hidden="false" customHeight="false" outlineLevel="0" collapsed="false">
      <c r="A178" s="29"/>
      <c r="B178" s="30"/>
      <c r="C178" s="30"/>
      <c r="D178" s="31"/>
      <c r="E178" s="32" t="str">
        <f aca="false">IF(B178="","",IFERROR(INDEX(Kategorien!$B$5:$B$37,MATCH(B178,Kategorien!$A$5:$A$37,0)),"unbekannte Kategorie"))</f>
        <v/>
      </c>
    </row>
    <row r="179" customFormat="false" ht="15" hidden="false" customHeight="false" outlineLevel="0" collapsed="false">
      <c r="A179" s="29"/>
      <c r="B179" s="30"/>
      <c r="C179" s="30"/>
      <c r="D179" s="31"/>
      <c r="E179" s="32" t="str">
        <f aca="false">IF(B179="","",IFERROR(INDEX(Kategorien!$B$5:$B$37,MATCH(B179,Kategorien!$A$5:$A$37,0)),"unbekannte Kategorie"))</f>
        <v/>
      </c>
    </row>
    <row r="180" customFormat="false" ht="15" hidden="false" customHeight="false" outlineLevel="0" collapsed="false">
      <c r="A180" s="29"/>
      <c r="B180" s="30"/>
      <c r="C180" s="30"/>
      <c r="D180" s="31"/>
      <c r="E180" s="32" t="str">
        <f aca="false">IF(B180="","",IFERROR(INDEX(Kategorien!$B$5:$B$37,MATCH(B180,Kategorien!$A$5:$A$37,0)),"unbekannte Kategorie"))</f>
        <v/>
      </c>
    </row>
    <row r="181" customFormat="false" ht="15" hidden="false" customHeight="false" outlineLevel="0" collapsed="false">
      <c r="A181" s="29"/>
      <c r="B181" s="30"/>
      <c r="C181" s="30"/>
      <c r="D181" s="31"/>
      <c r="E181" s="32" t="str">
        <f aca="false">IF(B181="","",IFERROR(INDEX(Kategorien!$B$5:$B$37,MATCH(B181,Kategorien!$A$5:$A$37,0)),"unbekannte Kategorie"))</f>
        <v/>
      </c>
    </row>
    <row r="182" customFormat="false" ht="15" hidden="false" customHeight="false" outlineLevel="0" collapsed="false">
      <c r="A182" s="29"/>
      <c r="B182" s="30"/>
      <c r="C182" s="30"/>
      <c r="D182" s="31"/>
      <c r="E182" s="32" t="str">
        <f aca="false">IF(B182="","",IFERROR(INDEX(Kategorien!$B$5:$B$37,MATCH(B182,Kategorien!$A$5:$A$37,0)),"unbekannte Kategorie"))</f>
        <v/>
      </c>
    </row>
    <row r="183" customFormat="false" ht="15" hidden="false" customHeight="false" outlineLevel="0" collapsed="false">
      <c r="A183" s="29"/>
      <c r="B183" s="30"/>
      <c r="C183" s="30"/>
      <c r="D183" s="31"/>
      <c r="E183" s="32" t="str">
        <f aca="false">IF(B183="","",IFERROR(INDEX(Kategorien!$B$5:$B$37,MATCH(B183,Kategorien!$A$5:$A$37,0)),"unbekannte Kategorie"))</f>
        <v/>
      </c>
    </row>
    <row r="184" customFormat="false" ht="15" hidden="false" customHeight="false" outlineLevel="0" collapsed="false">
      <c r="A184" s="29"/>
      <c r="B184" s="30"/>
      <c r="C184" s="30"/>
      <c r="D184" s="31"/>
      <c r="E184" s="32" t="str">
        <f aca="false">IF(B184="","",IFERROR(INDEX(Kategorien!$B$5:$B$37,MATCH(B184,Kategorien!$A$5:$A$37,0)),"unbekannte Kategorie"))</f>
        <v/>
      </c>
    </row>
    <row r="185" customFormat="false" ht="15" hidden="false" customHeight="false" outlineLevel="0" collapsed="false">
      <c r="A185" s="29"/>
      <c r="B185" s="30"/>
      <c r="C185" s="30"/>
      <c r="D185" s="31"/>
      <c r="E185" s="32" t="str">
        <f aca="false">IF(B185="","",IFERROR(INDEX(Kategorien!$B$5:$B$37,MATCH(B185,Kategorien!$A$5:$A$37,0)),"unbekannte Kategorie"))</f>
        <v/>
      </c>
    </row>
    <row r="186" customFormat="false" ht="15" hidden="false" customHeight="false" outlineLevel="0" collapsed="false">
      <c r="A186" s="29"/>
      <c r="B186" s="30"/>
      <c r="C186" s="30"/>
      <c r="D186" s="31"/>
      <c r="E186" s="32" t="str">
        <f aca="false">IF(B186="","",IFERROR(INDEX(Kategorien!$B$5:$B$37,MATCH(B186,Kategorien!$A$5:$A$37,0)),"unbekannte Kategorie"))</f>
        <v/>
      </c>
    </row>
    <row r="187" customFormat="false" ht="15" hidden="false" customHeight="false" outlineLevel="0" collapsed="false">
      <c r="A187" s="29"/>
      <c r="B187" s="30"/>
      <c r="C187" s="30"/>
      <c r="D187" s="31"/>
      <c r="E187" s="32" t="str">
        <f aca="false">IF(B187="","",IFERROR(INDEX(Kategorien!$B$5:$B$37,MATCH(B187,Kategorien!$A$5:$A$37,0)),"unbekannte Kategorie"))</f>
        <v/>
      </c>
    </row>
    <row r="188" customFormat="false" ht="15" hidden="false" customHeight="false" outlineLevel="0" collapsed="false">
      <c r="A188" s="29"/>
      <c r="B188" s="30"/>
      <c r="C188" s="30"/>
      <c r="D188" s="31"/>
      <c r="E188" s="32" t="str">
        <f aca="false">IF(B188="","",IFERROR(INDEX(Kategorien!$B$5:$B$37,MATCH(B188,Kategorien!$A$5:$A$37,0)),"unbekannte Kategorie"))</f>
        <v/>
      </c>
    </row>
    <row r="189" customFormat="false" ht="15" hidden="false" customHeight="false" outlineLevel="0" collapsed="false">
      <c r="A189" s="29"/>
      <c r="B189" s="30"/>
      <c r="C189" s="30"/>
      <c r="D189" s="31"/>
      <c r="E189" s="32" t="str">
        <f aca="false">IF(B189="","",IFERROR(INDEX(Kategorien!$B$5:$B$37,MATCH(B189,Kategorien!$A$5:$A$37,0)),"unbekannte Kategorie"))</f>
        <v/>
      </c>
    </row>
    <row r="190" customFormat="false" ht="15" hidden="false" customHeight="false" outlineLevel="0" collapsed="false">
      <c r="A190" s="29"/>
      <c r="B190" s="30"/>
      <c r="C190" s="30"/>
      <c r="D190" s="31"/>
      <c r="E190" s="32" t="str">
        <f aca="false">IF(B190="","",IFERROR(INDEX(Kategorien!$B$5:$B$37,MATCH(B190,Kategorien!$A$5:$A$37,0)),"unbekannte Kategorie"))</f>
        <v/>
      </c>
    </row>
    <row r="191" customFormat="false" ht="15" hidden="false" customHeight="false" outlineLevel="0" collapsed="false">
      <c r="A191" s="29"/>
      <c r="B191" s="30"/>
      <c r="C191" s="30"/>
      <c r="D191" s="31"/>
      <c r="E191" s="32" t="str">
        <f aca="false">IF(B191="","",IFERROR(INDEX(Kategorien!$B$5:$B$37,MATCH(B191,Kategorien!$A$5:$A$37,0)),"unbekannte Kategorie"))</f>
        <v/>
      </c>
    </row>
    <row r="192" customFormat="false" ht="15" hidden="false" customHeight="false" outlineLevel="0" collapsed="false">
      <c r="A192" s="29"/>
      <c r="B192" s="30"/>
      <c r="C192" s="30"/>
      <c r="D192" s="31"/>
      <c r="E192" s="32" t="str">
        <f aca="false">IF(B192="","",IFERROR(INDEX(Kategorien!$B$5:$B$37,MATCH(B192,Kategorien!$A$5:$A$37,0)),"unbekannte Kategorie"))</f>
        <v/>
      </c>
    </row>
    <row r="193" customFormat="false" ht="15" hidden="false" customHeight="false" outlineLevel="0" collapsed="false">
      <c r="A193" s="29"/>
      <c r="B193" s="30"/>
      <c r="C193" s="30"/>
      <c r="D193" s="31"/>
      <c r="E193" s="32" t="str">
        <f aca="false">IF(B193="","",IFERROR(INDEX(Kategorien!$B$5:$B$37,MATCH(B193,Kategorien!$A$5:$A$37,0)),"unbekannte Kategorie"))</f>
        <v/>
      </c>
    </row>
    <row r="194" customFormat="false" ht="15" hidden="false" customHeight="false" outlineLevel="0" collapsed="false">
      <c r="A194" s="29"/>
      <c r="B194" s="30"/>
      <c r="C194" s="30"/>
      <c r="D194" s="31"/>
      <c r="E194" s="32" t="str">
        <f aca="false">IF(B194="","",IFERROR(INDEX(Kategorien!$B$5:$B$37,MATCH(B194,Kategorien!$A$5:$A$37,0)),"unbekannte Kategorie"))</f>
        <v/>
      </c>
    </row>
    <row r="195" customFormat="false" ht="15" hidden="false" customHeight="false" outlineLevel="0" collapsed="false">
      <c r="A195" s="29"/>
      <c r="B195" s="30"/>
      <c r="C195" s="30"/>
      <c r="D195" s="31"/>
      <c r="E195" s="32" t="str">
        <f aca="false">IF(B195="","",IFERROR(INDEX(Kategorien!$B$5:$B$37,MATCH(B195,Kategorien!$A$5:$A$37,0)),"unbekannte Kategorie"))</f>
        <v/>
      </c>
    </row>
    <row r="196" customFormat="false" ht="15" hidden="false" customHeight="false" outlineLevel="0" collapsed="false">
      <c r="A196" s="29"/>
      <c r="B196" s="30"/>
      <c r="C196" s="30"/>
      <c r="D196" s="31"/>
      <c r="E196" s="32" t="str">
        <f aca="false">IF(B196="","",IFERROR(INDEX(Kategorien!$B$5:$B$37,MATCH(B196,Kategorien!$A$5:$A$37,0)),"unbekannte Kategorie"))</f>
        <v/>
      </c>
    </row>
    <row r="197" customFormat="false" ht="15" hidden="false" customHeight="false" outlineLevel="0" collapsed="false">
      <c r="A197" s="29"/>
      <c r="B197" s="30"/>
      <c r="C197" s="30"/>
      <c r="D197" s="31"/>
      <c r="E197" s="32" t="str">
        <f aca="false">IF(B197="","",IFERROR(INDEX(Kategorien!$B$5:$B$37,MATCH(B197,Kategorien!$A$5:$A$37,0)),"unbekannte Kategorie"))</f>
        <v/>
      </c>
    </row>
    <row r="198" customFormat="false" ht="15" hidden="false" customHeight="false" outlineLevel="0" collapsed="false">
      <c r="A198" s="29"/>
      <c r="B198" s="30"/>
      <c r="C198" s="30"/>
      <c r="D198" s="31"/>
      <c r="E198" s="32" t="str">
        <f aca="false">IF(B198="","",IFERROR(INDEX(Kategorien!$B$5:$B$37,MATCH(B198,Kategorien!$A$5:$A$37,0)),"unbekannte Kategorie"))</f>
        <v/>
      </c>
    </row>
    <row r="199" customFormat="false" ht="15" hidden="false" customHeight="false" outlineLevel="0" collapsed="false">
      <c r="A199" s="29"/>
      <c r="B199" s="30"/>
      <c r="C199" s="30"/>
      <c r="D199" s="31"/>
      <c r="E199" s="32" t="str">
        <f aca="false">IF(B199="","",IFERROR(INDEX(Kategorien!$B$5:$B$37,MATCH(B199,Kategorien!$A$5:$A$37,0)),"unbekannte Kategorie"))</f>
        <v/>
      </c>
    </row>
    <row r="200" customFormat="false" ht="15" hidden="false" customHeight="false" outlineLevel="0" collapsed="false">
      <c r="A200" s="29"/>
      <c r="B200" s="30"/>
      <c r="C200" s="30"/>
      <c r="D200" s="31"/>
      <c r="E200" s="32" t="str">
        <f aca="false">IF(B200="","",IFERROR(INDEX(Kategorien!$B$5:$B$37,MATCH(B200,Kategorien!$A$5:$A$37,0)),"unbekannte Kategorie"))</f>
        <v/>
      </c>
    </row>
    <row r="201" customFormat="false" ht="15" hidden="false" customHeight="false" outlineLevel="0" collapsed="false">
      <c r="A201" s="29"/>
      <c r="B201" s="30"/>
      <c r="C201" s="30"/>
      <c r="D201" s="31"/>
      <c r="E201" s="32" t="str">
        <f aca="false">IF(B201="","",IFERROR(INDEX(Kategorien!$B$5:$B$37,MATCH(B201,Kategorien!$A$5:$A$37,0)),"unbekannte Kategorie"))</f>
        <v/>
      </c>
    </row>
    <row r="202" customFormat="false" ht="15" hidden="false" customHeight="false" outlineLevel="0" collapsed="false">
      <c r="A202" s="29"/>
      <c r="B202" s="30"/>
      <c r="C202" s="30"/>
      <c r="D202" s="31"/>
      <c r="E202" s="32" t="str">
        <f aca="false">IF(B202="","",IFERROR(INDEX(Kategorien!$B$5:$B$37,MATCH(B202,Kategorien!$A$5:$A$37,0)),"unbekannte Kategorie"))</f>
        <v/>
      </c>
    </row>
    <row r="203" customFormat="false" ht="15" hidden="false" customHeight="false" outlineLevel="0" collapsed="false">
      <c r="A203" s="29"/>
      <c r="B203" s="30"/>
      <c r="C203" s="30"/>
      <c r="D203" s="31"/>
      <c r="E203" s="32" t="str">
        <f aca="false">IF(B203="","",IFERROR(INDEX(Kategorien!$B$5:$B$37,MATCH(B203,Kategorien!$A$5:$A$37,0)),"unbekannte Kategorie"))</f>
        <v/>
      </c>
    </row>
    <row r="204" customFormat="false" ht="15" hidden="false" customHeight="false" outlineLevel="0" collapsed="false">
      <c r="A204" s="29"/>
      <c r="B204" s="30"/>
      <c r="C204" s="30"/>
      <c r="D204" s="31"/>
      <c r="E204" s="32" t="str">
        <f aca="false">IF(B204="","",IFERROR(INDEX(Kategorien!$B$5:$B$37,MATCH(B204,Kategorien!$A$5:$A$37,0)),"unbekannte Kategorie"))</f>
        <v/>
      </c>
    </row>
    <row r="205" customFormat="false" ht="15" hidden="false" customHeight="false" outlineLevel="0" collapsed="false">
      <c r="A205" s="29"/>
      <c r="B205" s="30"/>
      <c r="C205" s="30"/>
      <c r="D205" s="31"/>
      <c r="E205" s="32" t="str">
        <f aca="false">IF(B205="","",IFERROR(INDEX(Kategorien!$B$5:$B$37,MATCH(B205,Kategorien!$A$5:$A$37,0)),"unbekannte Kategorie"))</f>
        <v/>
      </c>
    </row>
    <row r="206" customFormat="false" ht="15" hidden="false" customHeight="false" outlineLevel="0" collapsed="false">
      <c r="A206" s="29"/>
      <c r="B206" s="30"/>
      <c r="C206" s="30"/>
      <c r="D206" s="31"/>
      <c r="E206" s="32" t="str">
        <f aca="false">IF(B206="","",IFERROR(INDEX(Kategorien!$B$5:$B$37,MATCH(B206,Kategorien!$A$5:$A$37,0)),"unbekannte Kategorie"))</f>
        <v/>
      </c>
    </row>
    <row r="207" customFormat="false" ht="15" hidden="false" customHeight="false" outlineLevel="0" collapsed="false">
      <c r="A207" s="29"/>
      <c r="B207" s="30"/>
      <c r="C207" s="30"/>
      <c r="D207" s="31"/>
      <c r="E207" s="32" t="str">
        <f aca="false">IF(B207="","",IFERROR(INDEX(Kategorien!$B$5:$B$37,MATCH(B207,Kategorien!$A$5:$A$37,0)),"unbekannte Kategorie"))</f>
        <v/>
      </c>
    </row>
    <row r="208" customFormat="false" ht="15" hidden="false" customHeight="false" outlineLevel="0" collapsed="false">
      <c r="A208" s="29"/>
      <c r="B208" s="30"/>
      <c r="C208" s="30"/>
      <c r="D208" s="31"/>
      <c r="E208" s="32" t="str">
        <f aca="false">IF(B208="","",IFERROR(INDEX(Kategorien!$B$5:$B$37,MATCH(B208,Kategorien!$A$5:$A$37,0)),"unbekannte Kategorie"))</f>
        <v/>
      </c>
    </row>
    <row r="209" customFormat="false" ht="15" hidden="false" customHeight="false" outlineLevel="0" collapsed="false">
      <c r="A209" s="29"/>
      <c r="B209" s="30"/>
      <c r="C209" s="30"/>
      <c r="D209" s="31"/>
      <c r="E209" s="32" t="str">
        <f aca="false">IF(B209="","",IFERROR(INDEX(Kategorien!$B$5:$B$37,MATCH(B209,Kategorien!$A$5:$A$37,0)),"unbekannte Kategorie"))</f>
        <v/>
      </c>
    </row>
    <row r="210" customFormat="false" ht="15" hidden="false" customHeight="false" outlineLevel="0" collapsed="false">
      <c r="A210" s="29"/>
      <c r="B210" s="30"/>
      <c r="C210" s="30"/>
      <c r="D210" s="31"/>
      <c r="E210" s="32" t="str">
        <f aca="false">IF(B210="","",IFERROR(INDEX(Kategorien!$B$5:$B$37,MATCH(B210,Kategorien!$A$5:$A$37,0)),"unbekannte Kategorie"))</f>
        <v/>
      </c>
    </row>
    <row r="211" customFormat="false" ht="15" hidden="false" customHeight="false" outlineLevel="0" collapsed="false">
      <c r="A211" s="29"/>
      <c r="B211" s="30"/>
      <c r="C211" s="30"/>
      <c r="D211" s="31"/>
      <c r="E211" s="32" t="str">
        <f aca="false">IF(B211="","",IFERROR(INDEX(Kategorien!$B$5:$B$37,MATCH(B211,Kategorien!$A$5:$A$37,0)),"unbekannte Kategorie"))</f>
        <v/>
      </c>
    </row>
    <row r="212" customFormat="false" ht="15" hidden="false" customHeight="false" outlineLevel="0" collapsed="false">
      <c r="A212" s="29"/>
      <c r="B212" s="30"/>
      <c r="C212" s="30"/>
      <c r="D212" s="31"/>
      <c r="E212" s="32" t="str">
        <f aca="false">IF(B212="","",IFERROR(INDEX(Kategorien!$B$5:$B$37,MATCH(B212,Kategorien!$A$5:$A$37,0)),"unbekannte Kategorie"))</f>
        <v/>
      </c>
    </row>
    <row r="213" customFormat="false" ht="15" hidden="false" customHeight="false" outlineLevel="0" collapsed="false">
      <c r="A213" s="29"/>
      <c r="B213" s="30"/>
      <c r="C213" s="30"/>
      <c r="D213" s="31"/>
      <c r="E213" s="32" t="str">
        <f aca="false">IF(B213="","",IFERROR(INDEX(Kategorien!$B$5:$B$37,MATCH(B213,Kategorien!$A$5:$A$37,0)),"unbekannte Kategorie"))</f>
        <v/>
      </c>
    </row>
    <row r="214" customFormat="false" ht="15" hidden="false" customHeight="false" outlineLevel="0" collapsed="false">
      <c r="A214" s="29"/>
      <c r="B214" s="30"/>
      <c r="C214" s="30"/>
      <c r="D214" s="31"/>
      <c r="E214" s="32" t="str">
        <f aca="false">IF(B214="","",IFERROR(INDEX(Kategorien!$B$5:$B$37,MATCH(B214,Kategorien!$A$5:$A$37,0)),"unbekannte Kategorie"))</f>
        <v/>
      </c>
    </row>
    <row r="215" customFormat="false" ht="15" hidden="false" customHeight="false" outlineLevel="0" collapsed="false">
      <c r="A215" s="29"/>
      <c r="B215" s="30"/>
      <c r="C215" s="30"/>
      <c r="D215" s="31"/>
      <c r="E215" s="32" t="str">
        <f aca="false">IF(B215="","",IFERROR(INDEX(Kategorien!$B$5:$B$37,MATCH(B215,Kategorien!$A$5:$A$37,0)),"unbekannte Kategorie"))</f>
        <v/>
      </c>
    </row>
    <row r="216" customFormat="false" ht="15" hidden="false" customHeight="false" outlineLevel="0" collapsed="false">
      <c r="A216" s="29"/>
      <c r="B216" s="30"/>
      <c r="C216" s="30"/>
      <c r="D216" s="31"/>
      <c r="E216" s="32" t="str">
        <f aca="false">IF(B216="","",IFERROR(INDEX(Kategorien!$B$5:$B$37,MATCH(B216,Kategorien!$A$5:$A$37,0)),"unbekannte Kategorie"))</f>
        <v/>
      </c>
    </row>
    <row r="217" customFormat="false" ht="15" hidden="false" customHeight="false" outlineLevel="0" collapsed="false">
      <c r="A217" s="29"/>
      <c r="B217" s="30"/>
      <c r="C217" s="30"/>
      <c r="D217" s="31"/>
      <c r="E217" s="32" t="str">
        <f aca="false">IF(B217="","",IFERROR(INDEX(Kategorien!$B$5:$B$37,MATCH(B217,Kategorien!$A$5:$A$37,0)),"unbekannte Kategorie"))</f>
        <v/>
      </c>
    </row>
    <row r="218" customFormat="false" ht="15" hidden="false" customHeight="false" outlineLevel="0" collapsed="false">
      <c r="A218" s="29"/>
      <c r="B218" s="30"/>
      <c r="C218" s="30"/>
      <c r="D218" s="31"/>
      <c r="E218" s="32" t="str">
        <f aca="false">IF(B218="","",IFERROR(INDEX(Kategorien!$B$5:$B$37,MATCH(B218,Kategorien!$A$5:$A$37,0)),"unbekannte Kategorie"))</f>
        <v/>
      </c>
    </row>
    <row r="219" customFormat="false" ht="15" hidden="false" customHeight="false" outlineLevel="0" collapsed="false">
      <c r="A219" s="29"/>
      <c r="B219" s="30"/>
      <c r="C219" s="30"/>
      <c r="D219" s="31"/>
      <c r="E219" s="32" t="str">
        <f aca="false">IF(B219="","",IFERROR(INDEX(Kategorien!$B$5:$B$37,MATCH(B219,Kategorien!$A$5:$A$37,0)),"unbekannte Kategorie"))</f>
        <v/>
      </c>
    </row>
    <row r="220" customFormat="false" ht="15" hidden="false" customHeight="false" outlineLevel="0" collapsed="false">
      <c r="A220" s="29"/>
      <c r="B220" s="30"/>
      <c r="C220" s="30"/>
      <c r="D220" s="31"/>
      <c r="E220" s="32" t="str">
        <f aca="false">IF(B220="","",IFERROR(INDEX(Kategorien!$B$5:$B$37,MATCH(B220,Kategorien!$A$5:$A$37,0)),"unbekannte Kategorie"))</f>
        <v/>
      </c>
    </row>
    <row r="221" customFormat="false" ht="15" hidden="false" customHeight="false" outlineLevel="0" collapsed="false">
      <c r="A221" s="29"/>
      <c r="B221" s="30"/>
      <c r="C221" s="30"/>
      <c r="D221" s="31"/>
      <c r="E221" s="32" t="str">
        <f aca="false">IF(B221="","",IFERROR(INDEX(Kategorien!$B$5:$B$37,MATCH(B221,Kategorien!$A$5:$A$37,0)),"unbekannte Kategorie"))</f>
        <v/>
      </c>
    </row>
    <row r="222" customFormat="false" ht="15" hidden="false" customHeight="false" outlineLevel="0" collapsed="false">
      <c r="A222" s="29"/>
      <c r="B222" s="30"/>
      <c r="C222" s="30"/>
      <c r="D222" s="31"/>
      <c r="E222" s="32" t="str">
        <f aca="false">IF(B222="","",IFERROR(INDEX(Kategorien!$B$5:$B$37,MATCH(B222,Kategorien!$A$5:$A$37,0)),"unbekannte Kategorie"))</f>
        <v/>
      </c>
    </row>
    <row r="223" customFormat="false" ht="15" hidden="false" customHeight="false" outlineLevel="0" collapsed="false">
      <c r="A223" s="29"/>
      <c r="B223" s="30"/>
      <c r="C223" s="30"/>
      <c r="D223" s="31"/>
      <c r="E223" s="32" t="str">
        <f aca="false">IF(B223="","",IFERROR(INDEX(Kategorien!$B$5:$B$37,MATCH(B223,Kategorien!$A$5:$A$37,0)),"unbekannte Kategorie"))</f>
        <v/>
      </c>
    </row>
    <row r="224" customFormat="false" ht="15" hidden="false" customHeight="false" outlineLevel="0" collapsed="false">
      <c r="A224" s="29"/>
      <c r="B224" s="30"/>
      <c r="C224" s="30"/>
      <c r="D224" s="31"/>
      <c r="E224" s="32" t="str">
        <f aca="false">IF(B224="","",IFERROR(INDEX(Kategorien!$B$5:$B$37,MATCH(B224,Kategorien!$A$5:$A$37,0)),"unbekannte Kategorie"))</f>
        <v/>
      </c>
    </row>
    <row r="225" customFormat="false" ht="15" hidden="false" customHeight="false" outlineLevel="0" collapsed="false">
      <c r="A225" s="29"/>
      <c r="B225" s="30"/>
      <c r="C225" s="30"/>
      <c r="D225" s="31"/>
      <c r="E225" s="32" t="str">
        <f aca="false">IF(B225="","",IFERROR(INDEX(Kategorien!$B$5:$B$37,MATCH(B225,Kategorien!$A$5:$A$37,0)),"unbekannte Kategorie"))</f>
        <v/>
      </c>
    </row>
    <row r="226" customFormat="false" ht="15" hidden="false" customHeight="false" outlineLevel="0" collapsed="false">
      <c r="A226" s="29"/>
      <c r="B226" s="30"/>
      <c r="C226" s="30"/>
      <c r="D226" s="31"/>
      <c r="E226" s="32" t="str">
        <f aca="false">IF(B226="","",IFERROR(INDEX(Kategorien!$B$5:$B$37,MATCH(B226,Kategorien!$A$5:$A$37,0)),"unbekannte Kategorie"))</f>
        <v/>
      </c>
    </row>
    <row r="227" customFormat="false" ht="15" hidden="false" customHeight="false" outlineLevel="0" collapsed="false">
      <c r="A227" s="29"/>
      <c r="B227" s="30"/>
      <c r="C227" s="30"/>
      <c r="D227" s="31"/>
      <c r="E227" s="32" t="str">
        <f aca="false">IF(B227="","",IFERROR(INDEX(Kategorien!$B$5:$B$37,MATCH(B227,Kategorien!$A$5:$A$37,0)),"unbekannte Kategorie"))</f>
        <v/>
      </c>
    </row>
    <row r="228" customFormat="false" ht="15" hidden="false" customHeight="false" outlineLevel="0" collapsed="false">
      <c r="A228" s="29"/>
      <c r="B228" s="30"/>
      <c r="C228" s="30"/>
      <c r="D228" s="31"/>
      <c r="E228" s="32" t="str">
        <f aca="false">IF(B228="","",IFERROR(INDEX(Kategorien!$B$5:$B$37,MATCH(B228,Kategorien!$A$5:$A$37,0)),"unbekannte Kategorie"))</f>
        <v/>
      </c>
    </row>
    <row r="229" customFormat="false" ht="15" hidden="false" customHeight="false" outlineLevel="0" collapsed="false">
      <c r="A229" s="29"/>
      <c r="B229" s="30"/>
      <c r="C229" s="30"/>
      <c r="D229" s="31"/>
      <c r="E229" s="32" t="str">
        <f aca="false">IF(B229="","",IFERROR(INDEX(Kategorien!$B$5:$B$37,MATCH(B229,Kategorien!$A$5:$A$37,0)),"unbekannte Kategorie"))</f>
        <v/>
      </c>
    </row>
    <row r="230" customFormat="false" ht="15" hidden="false" customHeight="false" outlineLevel="0" collapsed="false">
      <c r="A230" s="29"/>
      <c r="B230" s="30"/>
      <c r="C230" s="30"/>
      <c r="D230" s="31"/>
      <c r="E230" s="32" t="str">
        <f aca="false">IF(B230="","",IFERROR(INDEX(Kategorien!$B$5:$B$37,MATCH(B230,Kategorien!$A$5:$A$37,0)),"unbekannte Kategorie"))</f>
        <v/>
      </c>
    </row>
    <row r="231" customFormat="false" ht="15" hidden="false" customHeight="false" outlineLevel="0" collapsed="false">
      <c r="A231" s="29"/>
      <c r="B231" s="30"/>
      <c r="C231" s="30"/>
      <c r="D231" s="31"/>
      <c r="E231" s="32" t="str">
        <f aca="false">IF(B231="","",IFERROR(INDEX(Kategorien!$B$5:$B$37,MATCH(B231,Kategorien!$A$5:$A$37,0)),"unbekannte Kategorie"))</f>
        <v/>
      </c>
    </row>
    <row r="232" customFormat="false" ht="15" hidden="false" customHeight="false" outlineLevel="0" collapsed="false">
      <c r="A232" s="29"/>
      <c r="B232" s="30"/>
      <c r="C232" s="30"/>
      <c r="D232" s="31"/>
      <c r="E232" s="32" t="str">
        <f aca="false">IF(B232="","",IFERROR(INDEX(Kategorien!$B$5:$B$37,MATCH(B232,Kategorien!$A$5:$A$37,0)),"unbekannte Kategorie"))</f>
        <v/>
      </c>
    </row>
    <row r="233" customFormat="false" ht="15" hidden="false" customHeight="false" outlineLevel="0" collapsed="false">
      <c r="A233" s="29"/>
      <c r="B233" s="30"/>
      <c r="C233" s="30"/>
      <c r="D233" s="31"/>
      <c r="E233" s="32" t="str">
        <f aca="false">IF(B233="","",IFERROR(INDEX(Kategorien!$B$5:$B$37,MATCH(B233,Kategorien!$A$5:$A$37,0)),"unbekannte Kategorie"))</f>
        <v/>
      </c>
    </row>
    <row r="234" customFormat="false" ht="15" hidden="false" customHeight="false" outlineLevel="0" collapsed="false">
      <c r="A234" s="29"/>
      <c r="B234" s="30"/>
      <c r="C234" s="30"/>
      <c r="D234" s="31"/>
      <c r="E234" s="32" t="str">
        <f aca="false">IF(B234="","",IFERROR(INDEX(Kategorien!$B$5:$B$37,MATCH(B234,Kategorien!$A$5:$A$37,0)),"unbekannte Kategorie"))</f>
        <v/>
      </c>
    </row>
    <row r="235" customFormat="false" ht="15" hidden="false" customHeight="false" outlineLevel="0" collapsed="false">
      <c r="A235" s="29"/>
      <c r="B235" s="30"/>
      <c r="C235" s="30"/>
      <c r="D235" s="31"/>
      <c r="E235" s="32" t="str">
        <f aca="false">IF(B235="","",IFERROR(INDEX(Kategorien!$B$5:$B$37,MATCH(B235,Kategorien!$A$5:$A$37,0)),"unbekannte Kategorie"))</f>
        <v/>
      </c>
    </row>
    <row r="236" customFormat="false" ht="15" hidden="false" customHeight="false" outlineLevel="0" collapsed="false">
      <c r="A236" s="29"/>
      <c r="B236" s="30"/>
      <c r="C236" s="30"/>
      <c r="D236" s="31"/>
      <c r="E236" s="32" t="str">
        <f aca="false">IF(B236="","",IFERROR(INDEX(Kategorien!$B$5:$B$37,MATCH(B236,Kategorien!$A$5:$A$37,0)),"unbekannte Kategorie"))</f>
        <v/>
      </c>
    </row>
    <row r="237" customFormat="false" ht="15" hidden="false" customHeight="false" outlineLevel="0" collapsed="false">
      <c r="A237" s="29"/>
      <c r="B237" s="30"/>
      <c r="C237" s="30"/>
      <c r="D237" s="31"/>
      <c r="E237" s="32" t="str">
        <f aca="false">IF(B237="","",IFERROR(INDEX(Kategorien!$B$5:$B$37,MATCH(B237,Kategorien!$A$5:$A$37,0)),"unbekannte Kategorie"))</f>
        <v/>
      </c>
    </row>
    <row r="238" customFormat="false" ht="15" hidden="false" customHeight="false" outlineLevel="0" collapsed="false">
      <c r="A238" s="29"/>
      <c r="B238" s="30"/>
      <c r="C238" s="30"/>
      <c r="D238" s="31"/>
      <c r="E238" s="32" t="str">
        <f aca="false">IF(B238="","",IFERROR(INDEX(Kategorien!$B$5:$B$37,MATCH(B238,Kategorien!$A$5:$A$37,0)),"unbekannte Kategorie"))</f>
        <v/>
      </c>
    </row>
    <row r="239" customFormat="false" ht="15" hidden="false" customHeight="false" outlineLevel="0" collapsed="false">
      <c r="A239" s="29"/>
      <c r="B239" s="30"/>
      <c r="C239" s="30"/>
      <c r="D239" s="31"/>
      <c r="E239" s="32" t="str">
        <f aca="false">IF(B239="","",IFERROR(INDEX(Kategorien!$B$5:$B$37,MATCH(B239,Kategorien!$A$5:$A$37,0)),"unbekannte Kategorie"))</f>
        <v/>
      </c>
    </row>
    <row r="240" customFormat="false" ht="15" hidden="false" customHeight="false" outlineLevel="0" collapsed="false">
      <c r="A240" s="29"/>
      <c r="B240" s="30"/>
      <c r="C240" s="30"/>
      <c r="D240" s="31"/>
      <c r="E240" s="32" t="str">
        <f aca="false">IF(B240="","",IFERROR(INDEX(Kategorien!$B$5:$B$37,MATCH(B240,Kategorien!$A$5:$A$37,0)),"unbekannte Kategorie"))</f>
        <v/>
      </c>
    </row>
    <row r="241" customFormat="false" ht="15" hidden="false" customHeight="false" outlineLevel="0" collapsed="false">
      <c r="A241" s="29"/>
      <c r="B241" s="30"/>
      <c r="C241" s="30"/>
      <c r="D241" s="31"/>
      <c r="E241" s="32" t="str">
        <f aca="false">IF(B241="","",IFERROR(INDEX(Kategorien!$B$5:$B$37,MATCH(B241,Kategorien!$A$5:$A$37,0)),"unbekannte Kategorie"))</f>
        <v/>
      </c>
    </row>
    <row r="242" customFormat="false" ht="15" hidden="false" customHeight="false" outlineLevel="0" collapsed="false">
      <c r="A242" s="29"/>
      <c r="B242" s="30"/>
      <c r="C242" s="30"/>
      <c r="D242" s="31"/>
      <c r="E242" s="32" t="str">
        <f aca="false">IF(B242="","",IFERROR(INDEX(Kategorien!$B$5:$B$37,MATCH(B242,Kategorien!$A$5:$A$37,0)),"unbekannte Kategorie"))</f>
        <v/>
      </c>
    </row>
    <row r="243" customFormat="false" ht="15" hidden="false" customHeight="false" outlineLevel="0" collapsed="false">
      <c r="A243" s="29"/>
      <c r="B243" s="30"/>
      <c r="C243" s="30"/>
      <c r="D243" s="31"/>
      <c r="E243" s="32" t="str">
        <f aca="false">IF(B243="","",IFERROR(INDEX(Kategorien!$B$5:$B$37,MATCH(B243,Kategorien!$A$5:$A$37,0)),"unbekannte Kategorie"))</f>
        <v/>
      </c>
    </row>
    <row r="244" customFormat="false" ht="15" hidden="false" customHeight="false" outlineLevel="0" collapsed="false">
      <c r="A244" s="29"/>
      <c r="B244" s="30"/>
      <c r="C244" s="30"/>
      <c r="D244" s="31"/>
      <c r="E244" s="32" t="str">
        <f aca="false">IF(B244="","",IFERROR(INDEX(Kategorien!$B$5:$B$37,MATCH(B244,Kategorien!$A$5:$A$37,0)),"unbekannte Kategorie"))</f>
        <v/>
      </c>
    </row>
    <row r="245" customFormat="false" ht="15" hidden="false" customHeight="false" outlineLevel="0" collapsed="false">
      <c r="A245" s="29"/>
      <c r="B245" s="30"/>
      <c r="C245" s="30"/>
      <c r="D245" s="31"/>
      <c r="E245" s="32" t="str">
        <f aca="false">IF(B245="","",IFERROR(INDEX(Kategorien!$B$5:$B$37,MATCH(B245,Kategorien!$A$5:$A$37,0)),"unbekannte Kategorie"))</f>
        <v/>
      </c>
    </row>
    <row r="246" customFormat="false" ht="15" hidden="false" customHeight="false" outlineLevel="0" collapsed="false">
      <c r="A246" s="29"/>
      <c r="B246" s="30"/>
      <c r="C246" s="30"/>
      <c r="D246" s="31"/>
      <c r="E246" s="32" t="str">
        <f aca="false">IF(B246="","",IFERROR(INDEX(Kategorien!$B$5:$B$37,MATCH(B246,Kategorien!$A$5:$A$37,0)),"unbekannte Kategorie"))</f>
        <v/>
      </c>
    </row>
    <row r="247" customFormat="false" ht="15" hidden="false" customHeight="false" outlineLevel="0" collapsed="false">
      <c r="A247" s="29"/>
      <c r="B247" s="30"/>
      <c r="C247" s="30"/>
      <c r="D247" s="31"/>
      <c r="E247" s="32" t="str">
        <f aca="false">IF(B247="","",IFERROR(INDEX(Kategorien!$B$5:$B$37,MATCH(B247,Kategorien!$A$5:$A$37,0)),"unbekannte Kategorie"))</f>
        <v/>
      </c>
    </row>
    <row r="248" customFormat="false" ht="15" hidden="false" customHeight="false" outlineLevel="0" collapsed="false">
      <c r="A248" s="29"/>
      <c r="B248" s="30"/>
      <c r="C248" s="30"/>
      <c r="D248" s="31"/>
      <c r="E248" s="32" t="str">
        <f aca="false">IF(B248="","",IFERROR(INDEX(Kategorien!$B$5:$B$37,MATCH(B248,Kategorien!$A$5:$A$37,0)),"unbekannte Kategorie"))</f>
        <v/>
      </c>
    </row>
    <row r="249" customFormat="false" ht="15" hidden="false" customHeight="false" outlineLevel="0" collapsed="false">
      <c r="A249" s="29"/>
      <c r="B249" s="30"/>
      <c r="C249" s="30"/>
      <c r="D249" s="31"/>
      <c r="E249" s="32" t="str">
        <f aca="false">IF(B249="","",IFERROR(INDEX(Kategorien!$B$5:$B$37,MATCH(B249,Kategorien!$A$5:$A$37,0)),"unbekannte Kategorie"))</f>
        <v/>
      </c>
    </row>
    <row r="250" customFormat="false" ht="15" hidden="false" customHeight="false" outlineLevel="0" collapsed="false">
      <c r="A250" s="29"/>
      <c r="B250" s="30"/>
      <c r="C250" s="30"/>
      <c r="D250" s="31"/>
      <c r="E250" s="32" t="str">
        <f aca="false">IF(B250="","",IFERROR(INDEX(Kategorien!$B$5:$B$37,MATCH(B250,Kategorien!$A$5:$A$37,0)),"unbekannte Kategorie"))</f>
        <v/>
      </c>
    </row>
    <row r="251" customFormat="false" ht="15" hidden="false" customHeight="false" outlineLevel="0" collapsed="false">
      <c r="A251" s="29"/>
      <c r="B251" s="30"/>
      <c r="C251" s="30"/>
      <c r="D251" s="31"/>
      <c r="E251" s="32" t="str">
        <f aca="false">IF(B251="","",IFERROR(INDEX(Kategorien!$B$5:$B$37,MATCH(B251,Kategorien!$A$5:$A$37,0)),"unbekannte Kategorie"))</f>
        <v/>
      </c>
    </row>
    <row r="252" customFormat="false" ht="15" hidden="false" customHeight="false" outlineLevel="0" collapsed="false">
      <c r="A252" s="29"/>
      <c r="B252" s="30"/>
      <c r="C252" s="30"/>
      <c r="D252" s="31"/>
      <c r="E252" s="32" t="str">
        <f aca="false">IF(B252="","",IFERROR(INDEX(Kategorien!$B$5:$B$37,MATCH(B252,Kategorien!$A$5:$A$37,0)),"unbekannte Kategorie"))</f>
        <v/>
      </c>
    </row>
    <row r="253" customFormat="false" ht="15" hidden="false" customHeight="false" outlineLevel="0" collapsed="false">
      <c r="A253" s="29"/>
      <c r="B253" s="30"/>
      <c r="C253" s="30"/>
      <c r="D253" s="31"/>
      <c r="E253" s="32" t="str">
        <f aca="false">IF(B253="","",IFERROR(INDEX(Kategorien!$B$5:$B$37,MATCH(B253,Kategorien!$A$5:$A$37,0)),"unbekannte Kategorie"))</f>
        <v/>
      </c>
    </row>
    <row r="254" customFormat="false" ht="15" hidden="false" customHeight="false" outlineLevel="0" collapsed="false">
      <c r="A254" s="29"/>
      <c r="B254" s="30"/>
      <c r="C254" s="30"/>
      <c r="D254" s="31"/>
      <c r="E254" s="32" t="str">
        <f aca="false">IF(B254="","",IFERROR(INDEX(Kategorien!$B$5:$B$37,MATCH(B254,Kategorien!$A$5:$A$37,0)),"unbekannte Kategorie"))</f>
        <v/>
      </c>
    </row>
    <row r="255" customFormat="false" ht="15" hidden="false" customHeight="false" outlineLevel="0" collapsed="false">
      <c r="A255" s="29"/>
      <c r="B255" s="30"/>
      <c r="C255" s="30"/>
      <c r="D255" s="31"/>
      <c r="E255" s="32" t="str">
        <f aca="false">IF(B255="","",IFERROR(INDEX(Kategorien!$B$5:$B$37,MATCH(B255,Kategorien!$A$5:$A$37,0)),"unbekannte Kategorie"))</f>
        <v/>
      </c>
    </row>
    <row r="256" customFormat="false" ht="15" hidden="false" customHeight="false" outlineLevel="0" collapsed="false">
      <c r="A256" s="29"/>
      <c r="B256" s="30"/>
      <c r="C256" s="30"/>
      <c r="D256" s="31"/>
      <c r="E256" s="32" t="str">
        <f aca="false">IF(B256="","",IFERROR(INDEX(Kategorien!$B$5:$B$37,MATCH(B256,Kategorien!$A$5:$A$37,0)),"unbekannte Kategorie"))</f>
        <v/>
      </c>
    </row>
    <row r="257" customFormat="false" ht="15" hidden="false" customHeight="false" outlineLevel="0" collapsed="false">
      <c r="A257" s="29"/>
      <c r="B257" s="30"/>
      <c r="C257" s="30"/>
      <c r="D257" s="31"/>
      <c r="E257" s="32" t="str">
        <f aca="false">IF(B257="","",IFERROR(INDEX(Kategorien!$B$5:$B$37,MATCH(B257,Kategorien!$A$5:$A$37,0)),"unbekannte Kategorie"))</f>
        <v/>
      </c>
    </row>
    <row r="258" customFormat="false" ht="15" hidden="false" customHeight="false" outlineLevel="0" collapsed="false">
      <c r="A258" s="29"/>
      <c r="B258" s="30"/>
      <c r="C258" s="30"/>
      <c r="D258" s="31"/>
      <c r="E258" s="32" t="str">
        <f aca="false">IF(B258="","",IFERROR(INDEX(Kategorien!$B$5:$B$37,MATCH(B258,Kategorien!$A$5:$A$37,0)),"unbekannte Kategorie"))</f>
        <v/>
      </c>
    </row>
    <row r="259" customFormat="false" ht="15" hidden="false" customHeight="false" outlineLevel="0" collapsed="false">
      <c r="A259" s="29"/>
      <c r="B259" s="30"/>
      <c r="C259" s="30"/>
      <c r="D259" s="31"/>
      <c r="E259" s="32" t="str">
        <f aca="false">IF(B259="","",IFERROR(INDEX(Kategorien!$B$5:$B$37,MATCH(B259,Kategorien!$A$5:$A$37,0)),"unbekannte Kategorie"))</f>
        <v/>
      </c>
    </row>
    <row r="260" customFormat="false" ht="15" hidden="false" customHeight="false" outlineLevel="0" collapsed="false">
      <c r="A260" s="29"/>
      <c r="B260" s="30"/>
      <c r="C260" s="30"/>
      <c r="D260" s="31"/>
      <c r="E260" s="32" t="str">
        <f aca="false">IF(B260="","",IFERROR(INDEX(Kategorien!$B$5:$B$37,MATCH(B260,Kategorien!$A$5:$A$37,0)),"unbekannte Kategorie"))</f>
        <v/>
      </c>
    </row>
    <row r="261" customFormat="false" ht="15" hidden="false" customHeight="false" outlineLevel="0" collapsed="false">
      <c r="A261" s="29"/>
      <c r="B261" s="30"/>
      <c r="C261" s="30"/>
      <c r="D261" s="31"/>
      <c r="E261" s="32" t="str">
        <f aca="false">IF(B261="","",IFERROR(INDEX(Kategorien!$B$5:$B$37,MATCH(B261,Kategorien!$A$5:$A$37,0)),"unbekannte Kategorie"))</f>
        <v/>
      </c>
    </row>
    <row r="262" customFormat="false" ht="15" hidden="false" customHeight="false" outlineLevel="0" collapsed="false">
      <c r="A262" s="29"/>
      <c r="B262" s="30"/>
      <c r="C262" s="30"/>
      <c r="D262" s="31"/>
      <c r="E262" s="32" t="str">
        <f aca="false">IF(B262="","",IFERROR(INDEX(Kategorien!$B$5:$B$37,MATCH(B262,Kategorien!$A$5:$A$37,0)),"unbekannte Kategorie"))</f>
        <v/>
      </c>
    </row>
    <row r="263" customFormat="false" ht="15" hidden="false" customHeight="false" outlineLevel="0" collapsed="false">
      <c r="A263" s="29"/>
      <c r="B263" s="30"/>
      <c r="C263" s="30"/>
      <c r="D263" s="31"/>
      <c r="E263" s="32" t="str">
        <f aca="false">IF(B263="","",IFERROR(INDEX(Kategorien!$B$5:$B$37,MATCH(B263,Kategorien!$A$5:$A$37,0)),"unbekannte Kategorie"))</f>
        <v/>
      </c>
    </row>
    <row r="264" customFormat="false" ht="15" hidden="false" customHeight="false" outlineLevel="0" collapsed="false">
      <c r="A264" s="29"/>
      <c r="B264" s="30"/>
      <c r="C264" s="30"/>
      <c r="D264" s="31"/>
      <c r="E264" s="32" t="str">
        <f aca="false">IF(B264="","",IFERROR(INDEX(Kategorien!$B$5:$B$37,MATCH(B264,Kategorien!$A$5:$A$37,0)),"unbekannte Kategorie"))</f>
        <v/>
      </c>
    </row>
    <row r="265" customFormat="false" ht="15" hidden="false" customHeight="false" outlineLevel="0" collapsed="false">
      <c r="A265" s="29"/>
      <c r="B265" s="30"/>
      <c r="C265" s="30"/>
      <c r="D265" s="31"/>
      <c r="E265" s="32" t="str">
        <f aca="false">IF(B265="","",IFERROR(INDEX(Kategorien!$B$5:$B$37,MATCH(B265,Kategorien!$A$5:$A$37,0)),"unbekannte Kategorie"))</f>
        <v/>
      </c>
    </row>
    <row r="266" customFormat="false" ht="15" hidden="false" customHeight="false" outlineLevel="0" collapsed="false">
      <c r="A266" s="29"/>
      <c r="B266" s="30"/>
      <c r="C266" s="30"/>
      <c r="D266" s="31"/>
      <c r="E266" s="32" t="str">
        <f aca="false">IF(B266="","",IFERROR(INDEX(Kategorien!$B$5:$B$37,MATCH(B266,Kategorien!$A$5:$A$37,0)),"unbekannte Kategorie"))</f>
        <v/>
      </c>
    </row>
    <row r="267" customFormat="false" ht="15" hidden="false" customHeight="false" outlineLevel="0" collapsed="false">
      <c r="A267" s="29"/>
      <c r="B267" s="30"/>
      <c r="C267" s="30"/>
      <c r="D267" s="31"/>
      <c r="E267" s="32" t="str">
        <f aca="false">IF(B267="","",IFERROR(INDEX(Kategorien!$B$5:$B$37,MATCH(B267,Kategorien!$A$5:$A$37,0)),"unbekannte Kategorie"))</f>
        <v/>
      </c>
    </row>
    <row r="268" customFormat="false" ht="15" hidden="false" customHeight="false" outlineLevel="0" collapsed="false">
      <c r="A268" s="29"/>
      <c r="B268" s="30"/>
      <c r="C268" s="30"/>
      <c r="D268" s="31"/>
      <c r="E268" s="32" t="str">
        <f aca="false">IF(B268="","",IFERROR(INDEX(Kategorien!$B$5:$B$37,MATCH(B268,Kategorien!$A$5:$A$37,0)),"unbekannte Kategorie"))</f>
        <v/>
      </c>
    </row>
    <row r="269" customFormat="false" ht="15" hidden="false" customHeight="false" outlineLevel="0" collapsed="false">
      <c r="A269" s="29"/>
      <c r="B269" s="30"/>
      <c r="C269" s="30"/>
      <c r="D269" s="31"/>
      <c r="E269" s="32" t="str">
        <f aca="false">IF(B269="","",IFERROR(INDEX(Kategorien!$B$5:$B$37,MATCH(B269,Kategorien!$A$5:$A$37,0)),"unbekannte Kategorie"))</f>
        <v/>
      </c>
    </row>
    <row r="270" customFormat="false" ht="15" hidden="false" customHeight="false" outlineLevel="0" collapsed="false">
      <c r="A270" s="29"/>
      <c r="B270" s="30"/>
      <c r="C270" s="30"/>
      <c r="D270" s="31"/>
      <c r="E270" s="32" t="str">
        <f aca="false">IF(B270="","",IFERROR(INDEX(Kategorien!$B$5:$B$37,MATCH(B270,Kategorien!$A$5:$A$37,0)),"unbekannte Kategorie"))</f>
        <v/>
      </c>
    </row>
    <row r="271" customFormat="false" ht="15" hidden="false" customHeight="false" outlineLevel="0" collapsed="false">
      <c r="A271" s="29"/>
      <c r="B271" s="30"/>
      <c r="C271" s="30"/>
      <c r="D271" s="31"/>
      <c r="E271" s="32" t="str">
        <f aca="false">IF(B271="","",IFERROR(INDEX(Kategorien!$B$5:$B$37,MATCH(B271,Kategorien!$A$5:$A$37,0)),"unbekannte Kategorie"))</f>
        <v/>
      </c>
    </row>
    <row r="272" customFormat="false" ht="15" hidden="false" customHeight="false" outlineLevel="0" collapsed="false">
      <c r="A272" s="29"/>
      <c r="B272" s="30"/>
      <c r="C272" s="30"/>
      <c r="D272" s="31"/>
      <c r="E272" s="32" t="str">
        <f aca="false">IF(B272="","",IFERROR(INDEX(Kategorien!$B$5:$B$37,MATCH(B272,Kategorien!$A$5:$A$37,0)),"unbekannte Kategorie"))</f>
        <v/>
      </c>
    </row>
    <row r="273" customFormat="false" ht="15" hidden="false" customHeight="false" outlineLevel="0" collapsed="false">
      <c r="A273" s="29"/>
      <c r="B273" s="30"/>
      <c r="C273" s="30"/>
      <c r="D273" s="31"/>
      <c r="E273" s="32" t="str">
        <f aca="false">IF(B273="","",IFERROR(INDEX(Kategorien!$B$5:$B$37,MATCH(B273,Kategorien!$A$5:$A$37,0)),"unbekannte Kategorie"))</f>
        <v/>
      </c>
    </row>
    <row r="274" customFormat="false" ht="15" hidden="false" customHeight="false" outlineLevel="0" collapsed="false">
      <c r="A274" s="29"/>
      <c r="B274" s="30"/>
      <c r="C274" s="30"/>
      <c r="D274" s="31"/>
      <c r="E274" s="32" t="str">
        <f aca="false">IF(B274="","",IFERROR(INDEX(Kategorien!$B$5:$B$37,MATCH(B274,Kategorien!$A$5:$A$37,0)),"unbekannte Kategorie"))</f>
        <v/>
      </c>
    </row>
    <row r="275" customFormat="false" ht="15" hidden="false" customHeight="false" outlineLevel="0" collapsed="false">
      <c r="A275" s="29"/>
      <c r="B275" s="30"/>
      <c r="C275" s="30"/>
      <c r="D275" s="31"/>
      <c r="E275" s="32" t="str">
        <f aca="false">IF(B275="","",IFERROR(INDEX(Kategorien!$B$5:$B$37,MATCH(B275,Kategorien!$A$5:$A$37,0)),"unbekannte Kategorie"))</f>
        <v/>
      </c>
    </row>
    <row r="276" customFormat="false" ht="15" hidden="false" customHeight="false" outlineLevel="0" collapsed="false">
      <c r="A276" s="29"/>
      <c r="B276" s="30"/>
      <c r="C276" s="30"/>
      <c r="D276" s="31"/>
      <c r="E276" s="32" t="str">
        <f aca="false">IF(B276="","",IFERROR(INDEX(Kategorien!$B$5:$B$37,MATCH(B276,Kategorien!$A$5:$A$37,0)),"unbekannte Kategorie"))</f>
        <v/>
      </c>
    </row>
    <row r="277" customFormat="false" ht="15" hidden="false" customHeight="false" outlineLevel="0" collapsed="false">
      <c r="A277" s="29"/>
      <c r="B277" s="30"/>
      <c r="C277" s="30"/>
      <c r="D277" s="31"/>
      <c r="E277" s="32" t="str">
        <f aca="false">IF(B277="","",IFERROR(INDEX(Kategorien!$B$5:$B$37,MATCH(B277,Kategorien!$A$5:$A$37,0)),"unbekannte Kategorie"))</f>
        <v/>
      </c>
    </row>
    <row r="278" customFormat="false" ht="15" hidden="false" customHeight="false" outlineLevel="0" collapsed="false">
      <c r="A278" s="29"/>
      <c r="B278" s="30"/>
      <c r="C278" s="30"/>
      <c r="D278" s="31"/>
      <c r="E278" s="32" t="str">
        <f aca="false">IF(B278="","",IFERROR(INDEX(Kategorien!$B$5:$B$37,MATCH(B278,Kategorien!$A$5:$A$37,0)),"unbekannte Kategorie"))</f>
        <v/>
      </c>
    </row>
    <row r="279" customFormat="false" ht="15" hidden="false" customHeight="false" outlineLevel="0" collapsed="false">
      <c r="A279" s="29"/>
      <c r="B279" s="30"/>
      <c r="C279" s="30"/>
      <c r="D279" s="31"/>
      <c r="E279" s="32" t="str">
        <f aca="false">IF(B279="","",IFERROR(INDEX(Kategorien!$B$5:$B$37,MATCH(B279,Kategorien!$A$5:$A$37,0)),"unbekannte Kategorie"))</f>
        <v/>
      </c>
    </row>
    <row r="280" customFormat="false" ht="15" hidden="false" customHeight="false" outlineLevel="0" collapsed="false">
      <c r="A280" s="29"/>
      <c r="B280" s="30"/>
      <c r="C280" s="30"/>
      <c r="D280" s="31"/>
      <c r="E280" s="32" t="str">
        <f aca="false">IF(B280="","",IFERROR(INDEX(Kategorien!$B$5:$B$37,MATCH(B280,Kategorien!$A$5:$A$37,0)),"unbekannte Kategorie"))</f>
        <v/>
      </c>
    </row>
    <row r="281" customFormat="false" ht="15" hidden="false" customHeight="false" outlineLevel="0" collapsed="false">
      <c r="A281" s="29"/>
      <c r="B281" s="30"/>
      <c r="C281" s="30"/>
      <c r="D281" s="31"/>
      <c r="E281" s="32" t="str">
        <f aca="false">IF(B281="","",IFERROR(INDEX(Kategorien!$B$5:$B$37,MATCH(B281,Kategorien!$A$5:$A$37,0)),"unbekannte Kategorie"))</f>
        <v/>
      </c>
    </row>
    <row r="282" customFormat="false" ht="15" hidden="false" customHeight="false" outlineLevel="0" collapsed="false">
      <c r="A282" s="29"/>
      <c r="B282" s="30"/>
      <c r="C282" s="30"/>
      <c r="D282" s="31"/>
      <c r="E282" s="32" t="str">
        <f aca="false">IF(B282="","",IFERROR(INDEX(Kategorien!$B$5:$B$37,MATCH(B282,Kategorien!$A$5:$A$37,0)),"unbekannte Kategorie"))</f>
        <v/>
      </c>
    </row>
    <row r="283" customFormat="false" ht="15" hidden="false" customHeight="false" outlineLevel="0" collapsed="false">
      <c r="A283" s="29"/>
      <c r="B283" s="30"/>
      <c r="C283" s="30"/>
      <c r="D283" s="31"/>
      <c r="E283" s="32" t="str">
        <f aca="false">IF(B283="","",IFERROR(INDEX(Kategorien!$B$5:$B$37,MATCH(B283,Kategorien!$A$5:$A$37,0)),"unbekannte Kategorie"))</f>
        <v/>
      </c>
    </row>
    <row r="284" customFormat="false" ht="15" hidden="false" customHeight="false" outlineLevel="0" collapsed="false">
      <c r="A284" s="29"/>
      <c r="B284" s="30"/>
      <c r="C284" s="30"/>
      <c r="D284" s="31"/>
      <c r="E284" s="32" t="str">
        <f aca="false">IF(B284="","",IFERROR(INDEX(Kategorien!$B$5:$B$37,MATCH(B284,Kategorien!$A$5:$A$37,0)),"unbekannte Kategorie"))</f>
        <v/>
      </c>
    </row>
    <row r="285" customFormat="false" ht="15" hidden="false" customHeight="false" outlineLevel="0" collapsed="false">
      <c r="A285" s="29"/>
      <c r="B285" s="30"/>
      <c r="C285" s="30"/>
      <c r="D285" s="31"/>
      <c r="E285" s="32" t="str">
        <f aca="false">IF(B285="","",IFERROR(INDEX(Kategorien!$B$5:$B$37,MATCH(B285,Kategorien!$A$5:$A$37,0)),"unbekannte Kategorie"))</f>
        <v/>
      </c>
    </row>
    <row r="286" customFormat="false" ht="15" hidden="false" customHeight="false" outlineLevel="0" collapsed="false">
      <c r="A286" s="29"/>
      <c r="B286" s="30"/>
      <c r="C286" s="30"/>
      <c r="D286" s="31"/>
      <c r="E286" s="32" t="str">
        <f aca="false">IF(B286="","",IFERROR(INDEX(Kategorien!$B$5:$B$37,MATCH(B286,Kategorien!$A$5:$A$37,0)),"unbekannte Kategorie"))</f>
        <v/>
      </c>
    </row>
    <row r="287" customFormat="false" ht="15" hidden="false" customHeight="false" outlineLevel="0" collapsed="false">
      <c r="A287" s="29"/>
      <c r="B287" s="30"/>
      <c r="C287" s="30"/>
      <c r="D287" s="31"/>
      <c r="E287" s="32" t="str">
        <f aca="false">IF(B287="","",IFERROR(INDEX(Kategorien!$B$5:$B$37,MATCH(B287,Kategorien!$A$5:$A$37,0)),"unbekannte Kategorie"))</f>
        <v/>
      </c>
    </row>
    <row r="288" customFormat="false" ht="15" hidden="false" customHeight="false" outlineLevel="0" collapsed="false">
      <c r="A288" s="29"/>
      <c r="B288" s="30"/>
      <c r="C288" s="30"/>
      <c r="D288" s="31"/>
      <c r="E288" s="32" t="str">
        <f aca="false">IF(B288="","",IFERROR(INDEX(Kategorien!$B$5:$B$37,MATCH(B288,Kategorien!$A$5:$A$37,0)),"unbekannte Kategorie"))</f>
        <v/>
      </c>
    </row>
    <row r="289" customFormat="false" ht="15" hidden="false" customHeight="false" outlineLevel="0" collapsed="false">
      <c r="A289" s="29"/>
      <c r="B289" s="30"/>
      <c r="C289" s="30"/>
      <c r="D289" s="31"/>
      <c r="E289" s="32" t="str">
        <f aca="false">IF(B289="","",IFERROR(INDEX(Kategorien!$B$5:$B$37,MATCH(B289,Kategorien!$A$5:$A$37,0)),"unbekannte Kategorie"))</f>
        <v/>
      </c>
    </row>
    <row r="290" customFormat="false" ht="15" hidden="false" customHeight="false" outlineLevel="0" collapsed="false">
      <c r="A290" s="29"/>
      <c r="B290" s="30"/>
      <c r="C290" s="30"/>
      <c r="D290" s="31"/>
      <c r="E290" s="32" t="str">
        <f aca="false">IF(B290="","",IFERROR(INDEX(Kategorien!$B$5:$B$37,MATCH(B290,Kategorien!$A$5:$A$37,0)),"unbekannte Kategorie"))</f>
        <v/>
      </c>
    </row>
    <row r="291" customFormat="false" ht="15" hidden="false" customHeight="false" outlineLevel="0" collapsed="false">
      <c r="A291" s="29"/>
      <c r="B291" s="30"/>
      <c r="C291" s="30"/>
      <c r="D291" s="31"/>
      <c r="E291" s="32" t="str">
        <f aca="false">IF(B291="","",IFERROR(INDEX(Kategorien!$B$5:$B$37,MATCH(B291,Kategorien!$A$5:$A$37,0)),"unbekannte Kategorie"))</f>
        <v/>
      </c>
    </row>
    <row r="292" customFormat="false" ht="15" hidden="false" customHeight="false" outlineLevel="0" collapsed="false">
      <c r="A292" s="29"/>
      <c r="B292" s="30"/>
      <c r="C292" s="30"/>
      <c r="D292" s="31"/>
      <c r="E292" s="32" t="str">
        <f aca="false">IF(B292="","",IFERROR(INDEX(Kategorien!$B$5:$B$37,MATCH(B292,Kategorien!$A$5:$A$37,0)),"unbekannte Kategorie"))</f>
        <v/>
      </c>
    </row>
    <row r="293" customFormat="false" ht="15" hidden="false" customHeight="false" outlineLevel="0" collapsed="false">
      <c r="A293" s="29"/>
      <c r="B293" s="30"/>
      <c r="C293" s="30"/>
      <c r="D293" s="31"/>
      <c r="E293" s="32" t="str">
        <f aca="false">IF(B293="","",IFERROR(INDEX(Kategorien!$B$5:$B$37,MATCH(B293,Kategorien!$A$5:$A$37,0)),"unbekannte Kategorie"))</f>
        <v/>
      </c>
    </row>
    <row r="294" customFormat="false" ht="15" hidden="false" customHeight="false" outlineLevel="0" collapsed="false">
      <c r="A294" s="29"/>
      <c r="B294" s="30"/>
      <c r="C294" s="30"/>
      <c r="D294" s="31"/>
      <c r="E294" s="32" t="str">
        <f aca="false">IF(B294="","",IFERROR(INDEX(Kategorien!$B$5:$B$37,MATCH(B294,Kategorien!$A$5:$A$37,0)),"unbekannte Kategorie"))</f>
        <v/>
      </c>
    </row>
    <row r="295" customFormat="false" ht="15" hidden="false" customHeight="false" outlineLevel="0" collapsed="false">
      <c r="A295" s="29"/>
      <c r="B295" s="30"/>
      <c r="C295" s="30"/>
      <c r="D295" s="31"/>
      <c r="E295" s="32" t="str">
        <f aca="false">IF(B295="","",IFERROR(INDEX(Kategorien!$B$5:$B$37,MATCH(B295,Kategorien!$A$5:$A$37,0)),"unbekannte Kategorie"))</f>
        <v/>
      </c>
    </row>
    <row r="296" customFormat="false" ht="15" hidden="false" customHeight="false" outlineLevel="0" collapsed="false">
      <c r="A296" s="29"/>
      <c r="B296" s="30"/>
      <c r="C296" s="30"/>
      <c r="D296" s="31"/>
      <c r="E296" s="32" t="str">
        <f aca="false">IF(B296="","",IFERROR(INDEX(Kategorien!$B$5:$B$37,MATCH(B296,Kategorien!$A$5:$A$37,0)),"unbekannte Kategorie"))</f>
        <v/>
      </c>
    </row>
    <row r="297" customFormat="false" ht="15" hidden="false" customHeight="false" outlineLevel="0" collapsed="false">
      <c r="A297" s="29"/>
      <c r="B297" s="30"/>
      <c r="C297" s="30"/>
      <c r="D297" s="31"/>
      <c r="E297" s="32" t="str">
        <f aca="false">IF(B297="","",IFERROR(INDEX(Kategorien!$B$5:$B$37,MATCH(B297,Kategorien!$A$5:$A$37,0)),"unbekannte Kategorie"))</f>
        <v/>
      </c>
    </row>
    <row r="298" customFormat="false" ht="15" hidden="false" customHeight="false" outlineLevel="0" collapsed="false">
      <c r="A298" s="29"/>
      <c r="B298" s="30"/>
      <c r="C298" s="30"/>
      <c r="D298" s="31"/>
      <c r="E298" s="32" t="str">
        <f aca="false">IF(B298="","",IFERROR(INDEX(Kategorien!$B$5:$B$37,MATCH(B298,Kategorien!$A$5:$A$37,0)),"unbekannte Kategorie"))</f>
        <v/>
      </c>
    </row>
    <row r="299" customFormat="false" ht="15" hidden="false" customHeight="false" outlineLevel="0" collapsed="false">
      <c r="A299" s="29"/>
      <c r="B299" s="30"/>
      <c r="C299" s="30"/>
      <c r="D299" s="31"/>
      <c r="E299" s="32" t="str">
        <f aca="false">IF(B299="","",IFERROR(INDEX(Kategorien!$B$5:$B$37,MATCH(B299,Kategorien!$A$5:$A$37,0)),"unbekannte Kategorie"))</f>
        <v/>
      </c>
    </row>
    <row r="300" customFormat="false" ht="15" hidden="false" customHeight="false" outlineLevel="0" collapsed="false">
      <c r="A300" s="29"/>
      <c r="B300" s="30"/>
      <c r="C300" s="30"/>
      <c r="D300" s="31"/>
      <c r="E300" s="32" t="str">
        <f aca="false">IF(B300="","",IFERROR(INDEX(Kategorien!$B$5:$B$37,MATCH(B300,Kategorien!$A$5:$A$37,0)),"unbekannte Kategorie"))</f>
        <v/>
      </c>
    </row>
    <row r="301" customFormat="false" ht="15" hidden="false" customHeight="false" outlineLevel="0" collapsed="false">
      <c r="A301" s="29"/>
      <c r="B301" s="30"/>
      <c r="C301" s="30"/>
      <c r="D301" s="31"/>
      <c r="E301" s="32" t="str">
        <f aca="false">IF(B301="","",IFERROR(INDEX(Kategorien!$B$5:$B$37,MATCH(B301,Kategorien!$A$5:$A$37,0)),"unbekannte Kategorie"))</f>
        <v/>
      </c>
    </row>
    <row r="302" customFormat="false" ht="15" hidden="false" customHeight="false" outlineLevel="0" collapsed="false">
      <c r="A302" s="29"/>
      <c r="B302" s="30"/>
      <c r="C302" s="30"/>
      <c r="D302" s="31"/>
      <c r="E302" s="32" t="str">
        <f aca="false">IF(B302="","",IFERROR(INDEX(Kategorien!$B$5:$B$37,MATCH(B302,Kategorien!$A$5:$A$37,0)),"unbekannte Kategorie"))</f>
        <v/>
      </c>
    </row>
    <row r="303" customFormat="false" ht="15" hidden="false" customHeight="false" outlineLevel="0" collapsed="false">
      <c r="A303" s="29"/>
      <c r="B303" s="30"/>
      <c r="C303" s="30"/>
      <c r="D303" s="31"/>
      <c r="E303" s="32" t="str">
        <f aca="false">IF(B303="","",IFERROR(INDEX(Kategorien!$B$5:$B$37,MATCH(B303,Kategorien!$A$5:$A$37,0)),"unbekannte Kategorie"))</f>
        <v/>
      </c>
    </row>
    <row r="304" customFormat="false" ht="15" hidden="false" customHeight="false" outlineLevel="0" collapsed="false">
      <c r="A304" s="29"/>
      <c r="B304" s="30"/>
      <c r="C304" s="30"/>
      <c r="D304" s="31"/>
      <c r="E304" s="32" t="str">
        <f aca="false">IF(B304="","",IFERROR(INDEX(Kategorien!$B$5:$B$37,MATCH(B304,Kategorien!$A$5:$A$37,0)),"unbekannte Kategorie"))</f>
        <v/>
      </c>
    </row>
    <row r="305" customFormat="false" ht="15" hidden="false" customHeight="false" outlineLevel="0" collapsed="false">
      <c r="A305" s="29"/>
      <c r="B305" s="30"/>
      <c r="C305" s="30"/>
      <c r="D305" s="31"/>
      <c r="E305" s="32" t="str">
        <f aca="false">IF(B305="","",IFERROR(INDEX(Kategorien!$B$5:$B$37,MATCH(B305,Kategorien!$A$5:$A$37,0)),"unbekannte Kategorie"))</f>
        <v/>
      </c>
    </row>
    <row r="306" customFormat="false" ht="15" hidden="false" customHeight="false" outlineLevel="0" collapsed="false">
      <c r="A306" s="29"/>
      <c r="B306" s="30"/>
      <c r="C306" s="30"/>
      <c r="D306" s="31"/>
      <c r="E306" s="32" t="str">
        <f aca="false">IF(B306="","",IFERROR(INDEX(Kategorien!$B$5:$B$37,MATCH(B306,Kategorien!$A$5:$A$37,0)),"unbekannte Kategorie"))</f>
        <v/>
      </c>
    </row>
    <row r="307" customFormat="false" ht="15" hidden="false" customHeight="false" outlineLevel="0" collapsed="false">
      <c r="A307" s="29"/>
      <c r="B307" s="30"/>
      <c r="C307" s="30"/>
      <c r="D307" s="31"/>
      <c r="E307" s="32" t="str">
        <f aca="false">IF(B307="","",IFERROR(INDEX(Kategorien!$B$5:$B$37,MATCH(B307,Kategorien!$A$5:$A$37,0)),"unbekannte Kategorie"))</f>
        <v/>
      </c>
    </row>
    <row r="308" customFormat="false" ht="15" hidden="false" customHeight="false" outlineLevel="0" collapsed="false">
      <c r="A308" s="29"/>
      <c r="B308" s="30"/>
      <c r="C308" s="30"/>
      <c r="D308" s="31"/>
      <c r="E308" s="32" t="str">
        <f aca="false">IF(B308="","",IFERROR(INDEX(Kategorien!$B$5:$B$37,MATCH(B308,Kategorien!$A$5:$A$37,0)),"unbekannte Kategorie"))</f>
        <v/>
      </c>
    </row>
    <row r="309" customFormat="false" ht="15" hidden="false" customHeight="false" outlineLevel="0" collapsed="false">
      <c r="A309" s="29"/>
      <c r="B309" s="30"/>
      <c r="C309" s="30"/>
      <c r="D309" s="31"/>
      <c r="E309" s="32" t="str">
        <f aca="false">IF(B309="","",IFERROR(INDEX(Kategorien!$B$5:$B$37,MATCH(B309,Kategorien!$A$5:$A$37,0)),"unbekannte Kategorie"))</f>
        <v/>
      </c>
    </row>
    <row r="310" customFormat="false" ht="15" hidden="false" customHeight="false" outlineLevel="0" collapsed="false">
      <c r="A310" s="29"/>
      <c r="B310" s="30"/>
      <c r="C310" s="30"/>
      <c r="D310" s="31"/>
      <c r="E310" s="32" t="str">
        <f aca="false">IF(B310="","",IFERROR(INDEX(Kategorien!$B$5:$B$37,MATCH(B310,Kategorien!$A$5:$A$37,0)),"unbekannte Kategorie"))</f>
        <v/>
      </c>
    </row>
    <row r="311" customFormat="false" ht="15" hidden="false" customHeight="false" outlineLevel="0" collapsed="false">
      <c r="A311" s="29"/>
      <c r="B311" s="30"/>
      <c r="C311" s="30"/>
      <c r="D311" s="31"/>
      <c r="E311" s="32" t="str">
        <f aca="false">IF(B311="","",IFERROR(INDEX(Kategorien!$B$5:$B$37,MATCH(B311,Kategorien!$A$5:$A$37,0)),"unbekannte Kategorie"))</f>
        <v/>
      </c>
    </row>
    <row r="312" customFormat="false" ht="15" hidden="false" customHeight="false" outlineLevel="0" collapsed="false">
      <c r="A312" s="29"/>
      <c r="B312" s="30"/>
      <c r="C312" s="30"/>
      <c r="D312" s="31"/>
      <c r="E312" s="32" t="str">
        <f aca="false">IF(B312="","",IFERROR(INDEX(Kategorien!$B$5:$B$37,MATCH(B312,Kategorien!$A$5:$A$37,0)),"unbekannte Kategorie"))</f>
        <v/>
      </c>
    </row>
    <row r="313" customFormat="false" ht="15" hidden="false" customHeight="false" outlineLevel="0" collapsed="false">
      <c r="A313" s="29"/>
      <c r="B313" s="30"/>
      <c r="C313" s="30"/>
      <c r="D313" s="31"/>
      <c r="E313" s="32" t="str">
        <f aca="false">IF(B313="","",IFERROR(INDEX(Kategorien!$B$5:$B$37,MATCH(B313,Kategorien!$A$5:$A$37,0)),"unbekannte Kategorie"))</f>
        <v/>
      </c>
    </row>
    <row r="314" customFormat="false" ht="15" hidden="false" customHeight="false" outlineLevel="0" collapsed="false">
      <c r="A314" s="29"/>
      <c r="B314" s="30"/>
      <c r="C314" s="30"/>
      <c r="D314" s="31"/>
      <c r="E314" s="32" t="str">
        <f aca="false">IF(B314="","",IFERROR(INDEX(Kategorien!$B$5:$B$37,MATCH(B314,Kategorien!$A$5:$A$37,0)),"unbekannte Kategorie"))</f>
        <v/>
      </c>
    </row>
    <row r="315" customFormat="false" ht="15" hidden="false" customHeight="false" outlineLevel="0" collapsed="false">
      <c r="A315" s="29"/>
      <c r="B315" s="30"/>
      <c r="C315" s="30"/>
      <c r="D315" s="31"/>
      <c r="E315" s="32" t="str">
        <f aca="false">IF(B315="","",IFERROR(INDEX(Kategorien!$B$5:$B$37,MATCH(B315,Kategorien!$A$5:$A$37,0)),"unbekannte Kategorie"))</f>
        <v/>
      </c>
    </row>
    <row r="316" customFormat="false" ht="15" hidden="false" customHeight="false" outlineLevel="0" collapsed="false">
      <c r="A316" s="29"/>
      <c r="B316" s="30"/>
      <c r="C316" s="30"/>
      <c r="D316" s="31"/>
      <c r="E316" s="32" t="str">
        <f aca="false">IF(B316="","",IFERROR(INDEX(Kategorien!$B$5:$B$37,MATCH(B316,Kategorien!$A$5:$A$37,0)),"unbekannte Kategorie"))</f>
        <v/>
      </c>
    </row>
    <row r="317" customFormat="false" ht="15" hidden="false" customHeight="false" outlineLevel="0" collapsed="false">
      <c r="A317" s="29"/>
      <c r="B317" s="30"/>
      <c r="C317" s="30"/>
      <c r="D317" s="31"/>
      <c r="E317" s="32" t="str">
        <f aca="false">IF(B317="","",IFERROR(INDEX(Kategorien!$B$5:$B$37,MATCH(B317,Kategorien!$A$5:$A$37,0)),"unbekannte Kategorie"))</f>
        <v/>
      </c>
    </row>
    <row r="318" customFormat="false" ht="15" hidden="false" customHeight="false" outlineLevel="0" collapsed="false">
      <c r="A318" s="29"/>
      <c r="B318" s="30"/>
      <c r="C318" s="30"/>
      <c r="D318" s="31"/>
      <c r="E318" s="32" t="str">
        <f aca="false">IF(B318="","",IFERROR(INDEX(Kategorien!$B$5:$B$37,MATCH(B318,Kategorien!$A$5:$A$37,0)),"unbekannte Kategorie"))</f>
        <v/>
      </c>
    </row>
    <row r="319" customFormat="false" ht="15" hidden="false" customHeight="false" outlineLevel="0" collapsed="false">
      <c r="A319" s="29"/>
      <c r="B319" s="30"/>
      <c r="C319" s="30"/>
      <c r="D319" s="31"/>
      <c r="E319" s="32" t="str">
        <f aca="false">IF(B319="","",IFERROR(INDEX(Kategorien!$B$5:$B$37,MATCH(B319,Kategorien!$A$5:$A$37,0)),"unbekannte Kategorie"))</f>
        <v/>
      </c>
    </row>
    <row r="320" customFormat="false" ht="15" hidden="false" customHeight="false" outlineLevel="0" collapsed="false">
      <c r="A320" s="29"/>
      <c r="B320" s="30"/>
      <c r="C320" s="30"/>
      <c r="D320" s="31"/>
      <c r="E320" s="32" t="str">
        <f aca="false">IF(B320="","",IFERROR(INDEX(Kategorien!$B$5:$B$37,MATCH(B320,Kategorien!$A$5:$A$37,0)),"unbekannte Kategorie"))</f>
        <v/>
      </c>
    </row>
    <row r="321" customFormat="false" ht="15" hidden="false" customHeight="false" outlineLevel="0" collapsed="false">
      <c r="A321" s="29"/>
      <c r="B321" s="30"/>
      <c r="C321" s="30"/>
      <c r="D321" s="31"/>
      <c r="E321" s="32" t="str">
        <f aca="false">IF(B321="","",IFERROR(INDEX(Kategorien!$B$5:$B$37,MATCH(B321,Kategorien!$A$5:$A$37,0)),"unbekannte Kategorie"))</f>
        <v/>
      </c>
    </row>
    <row r="322" customFormat="false" ht="15" hidden="false" customHeight="false" outlineLevel="0" collapsed="false">
      <c r="A322" s="29"/>
      <c r="B322" s="30"/>
      <c r="C322" s="30"/>
      <c r="D322" s="31"/>
      <c r="E322" s="32" t="str">
        <f aca="false">IF(B322="","",IFERROR(INDEX(Kategorien!$B$5:$B$37,MATCH(B322,Kategorien!$A$5:$A$37,0)),"unbekannte Kategorie"))</f>
        <v/>
      </c>
    </row>
    <row r="323" customFormat="false" ht="15" hidden="false" customHeight="false" outlineLevel="0" collapsed="false">
      <c r="A323" s="29"/>
      <c r="B323" s="30"/>
      <c r="C323" s="30"/>
      <c r="D323" s="31"/>
      <c r="E323" s="32" t="str">
        <f aca="false">IF(B323="","",IFERROR(INDEX(Kategorien!$B$5:$B$37,MATCH(B323,Kategorien!$A$5:$A$37,0)),"unbekannte Kategorie"))</f>
        <v/>
      </c>
    </row>
    <row r="324" customFormat="false" ht="15" hidden="false" customHeight="false" outlineLevel="0" collapsed="false">
      <c r="A324" s="29"/>
      <c r="B324" s="30"/>
      <c r="C324" s="30"/>
      <c r="D324" s="31"/>
      <c r="E324" s="32" t="str">
        <f aca="false">IF(B324="","",IFERROR(INDEX(Kategorien!$B$5:$B$37,MATCH(B324,Kategorien!$A$5:$A$37,0)),"unbekannte Kategorie"))</f>
        <v/>
      </c>
    </row>
    <row r="325" customFormat="false" ht="15" hidden="false" customHeight="false" outlineLevel="0" collapsed="false">
      <c r="A325" s="29"/>
      <c r="B325" s="30"/>
      <c r="C325" s="30"/>
      <c r="D325" s="31"/>
      <c r="E325" s="32" t="str">
        <f aca="false">IF(B325="","",IFERROR(INDEX(Kategorien!$B$5:$B$37,MATCH(B325,Kategorien!$A$5:$A$37,0)),"unbekannte Kategorie"))</f>
        <v/>
      </c>
    </row>
    <row r="326" customFormat="false" ht="15" hidden="false" customHeight="false" outlineLevel="0" collapsed="false">
      <c r="A326" s="29"/>
      <c r="B326" s="30"/>
      <c r="C326" s="30"/>
      <c r="D326" s="31"/>
      <c r="E326" s="32" t="str">
        <f aca="false">IF(B326="","",IFERROR(INDEX(Kategorien!$B$5:$B$37,MATCH(B326,Kategorien!$A$5:$A$37,0)),"unbekannte Kategorie"))</f>
        <v/>
      </c>
    </row>
    <row r="327" customFormat="false" ht="15" hidden="false" customHeight="false" outlineLevel="0" collapsed="false">
      <c r="A327" s="29"/>
      <c r="B327" s="30"/>
      <c r="C327" s="30"/>
      <c r="D327" s="31"/>
      <c r="E327" s="32" t="str">
        <f aca="false">IF(B327="","",IFERROR(INDEX(Kategorien!$B$5:$B$37,MATCH(B327,Kategorien!$A$5:$A$37,0)),"unbekannte Kategorie"))</f>
        <v/>
      </c>
    </row>
    <row r="328" customFormat="false" ht="15" hidden="false" customHeight="false" outlineLevel="0" collapsed="false">
      <c r="A328" s="29"/>
      <c r="B328" s="30"/>
      <c r="C328" s="30"/>
      <c r="D328" s="31"/>
      <c r="E328" s="32" t="str">
        <f aca="false">IF(B328="","",IFERROR(INDEX(Kategorien!$B$5:$B$37,MATCH(B328,Kategorien!$A$5:$A$37,0)),"unbekannte Kategorie"))</f>
        <v/>
      </c>
    </row>
    <row r="329" customFormat="false" ht="15" hidden="false" customHeight="false" outlineLevel="0" collapsed="false">
      <c r="A329" s="29"/>
      <c r="B329" s="30"/>
      <c r="C329" s="30"/>
      <c r="D329" s="31"/>
      <c r="E329" s="32" t="str">
        <f aca="false">IF(B329="","",IFERROR(INDEX(Kategorien!$B$5:$B$37,MATCH(B329,Kategorien!$A$5:$A$37,0)),"unbekannte Kategorie"))</f>
        <v/>
      </c>
    </row>
    <row r="330" customFormat="false" ht="15" hidden="false" customHeight="false" outlineLevel="0" collapsed="false">
      <c r="A330" s="29"/>
      <c r="B330" s="30"/>
      <c r="C330" s="30"/>
      <c r="D330" s="31"/>
      <c r="E330" s="32" t="str">
        <f aca="false">IF(B330="","",IFERROR(INDEX(Kategorien!$B$5:$B$37,MATCH(B330,Kategorien!$A$5:$A$37,0)),"unbekannte Kategorie"))</f>
        <v/>
      </c>
    </row>
    <row r="331" customFormat="false" ht="15" hidden="false" customHeight="false" outlineLevel="0" collapsed="false">
      <c r="A331" s="29"/>
      <c r="B331" s="30"/>
      <c r="C331" s="30"/>
      <c r="D331" s="31"/>
      <c r="E331" s="32" t="str">
        <f aca="false">IF(B331="","",IFERROR(INDEX(Kategorien!$B$5:$B$37,MATCH(B331,Kategorien!$A$5:$A$37,0)),"unbekannte Kategorie"))</f>
        <v/>
      </c>
    </row>
    <row r="332" customFormat="false" ht="15" hidden="false" customHeight="false" outlineLevel="0" collapsed="false">
      <c r="A332" s="29"/>
      <c r="B332" s="30"/>
      <c r="C332" s="30"/>
      <c r="D332" s="31"/>
      <c r="E332" s="32" t="str">
        <f aca="false">IF(B332="","",IFERROR(INDEX(Kategorien!$B$5:$B$37,MATCH(B332,Kategorien!$A$5:$A$37,0)),"unbekannte Kategorie"))</f>
        <v/>
      </c>
    </row>
    <row r="333" customFormat="false" ht="15" hidden="false" customHeight="false" outlineLevel="0" collapsed="false">
      <c r="A333" s="29"/>
      <c r="B333" s="30"/>
      <c r="C333" s="30"/>
      <c r="D333" s="31"/>
      <c r="E333" s="32" t="str">
        <f aca="false">IF(B333="","",IFERROR(INDEX(Kategorien!$B$5:$B$37,MATCH(B333,Kategorien!$A$5:$A$37,0)),"unbekannte Kategorie"))</f>
        <v/>
      </c>
    </row>
    <row r="334" customFormat="false" ht="15" hidden="false" customHeight="false" outlineLevel="0" collapsed="false">
      <c r="A334" s="29"/>
      <c r="B334" s="30"/>
      <c r="C334" s="30"/>
      <c r="D334" s="31"/>
      <c r="E334" s="32" t="str">
        <f aca="false">IF(B334="","",IFERROR(INDEX(Kategorien!$B$5:$B$37,MATCH(B334,Kategorien!$A$5:$A$37,0)),"unbekannte Kategorie"))</f>
        <v/>
      </c>
    </row>
    <row r="335" customFormat="false" ht="15" hidden="false" customHeight="false" outlineLevel="0" collapsed="false">
      <c r="A335" s="29"/>
      <c r="B335" s="30"/>
      <c r="C335" s="30"/>
      <c r="D335" s="31"/>
      <c r="E335" s="32" t="str">
        <f aca="false">IF(B335="","",IFERROR(INDEX(Kategorien!$B$5:$B$37,MATCH(B335,Kategorien!$A$5:$A$37,0)),"unbekannte Kategorie"))</f>
        <v/>
      </c>
    </row>
    <row r="336" customFormat="false" ht="15" hidden="false" customHeight="false" outlineLevel="0" collapsed="false">
      <c r="A336" s="29"/>
      <c r="B336" s="30"/>
      <c r="C336" s="30"/>
      <c r="D336" s="31"/>
      <c r="E336" s="32" t="str">
        <f aca="false">IF(B336="","",IFERROR(INDEX(Kategorien!$B$5:$B$37,MATCH(B336,Kategorien!$A$5:$A$37,0)),"unbekannte Kategorie"))</f>
        <v/>
      </c>
    </row>
    <row r="337" customFormat="false" ht="15" hidden="false" customHeight="false" outlineLevel="0" collapsed="false">
      <c r="A337" s="29"/>
      <c r="B337" s="30"/>
      <c r="C337" s="30"/>
      <c r="D337" s="31"/>
      <c r="E337" s="32" t="str">
        <f aca="false">IF(B337="","",IFERROR(INDEX(Kategorien!$B$5:$B$37,MATCH(B337,Kategorien!$A$5:$A$37,0)),"unbekannte Kategorie"))</f>
        <v/>
      </c>
    </row>
    <row r="338" customFormat="false" ht="15" hidden="false" customHeight="false" outlineLevel="0" collapsed="false">
      <c r="A338" s="29"/>
      <c r="B338" s="30"/>
      <c r="C338" s="30"/>
      <c r="D338" s="31"/>
      <c r="E338" s="32" t="str">
        <f aca="false">IF(B338="","",IFERROR(INDEX(Kategorien!$B$5:$B$37,MATCH(B338,Kategorien!$A$5:$A$37,0)),"unbekannte Kategorie"))</f>
        <v/>
      </c>
    </row>
    <row r="339" customFormat="false" ht="15" hidden="false" customHeight="false" outlineLevel="0" collapsed="false">
      <c r="A339" s="29"/>
      <c r="B339" s="30"/>
      <c r="C339" s="30"/>
      <c r="D339" s="31"/>
      <c r="E339" s="32" t="str">
        <f aca="false">IF(B339="","",IFERROR(INDEX(Kategorien!$B$5:$B$37,MATCH(B339,Kategorien!$A$5:$A$37,0)),"unbekannte Kategorie"))</f>
        <v/>
      </c>
    </row>
    <row r="340" customFormat="false" ht="15" hidden="false" customHeight="false" outlineLevel="0" collapsed="false">
      <c r="A340" s="29"/>
      <c r="B340" s="30"/>
      <c r="C340" s="30"/>
      <c r="D340" s="31"/>
      <c r="E340" s="32" t="str">
        <f aca="false">IF(B340="","",IFERROR(INDEX(Kategorien!$B$5:$B$37,MATCH(B340,Kategorien!$A$5:$A$37,0)),"unbekannte Kategorie"))</f>
        <v/>
      </c>
    </row>
    <row r="341" customFormat="false" ht="15" hidden="false" customHeight="false" outlineLevel="0" collapsed="false">
      <c r="A341" s="29"/>
      <c r="B341" s="30"/>
      <c r="C341" s="30"/>
      <c r="D341" s="31"/>
      <c r="E341" s="32" t="str">
        <f aca="false">IF(B341="","",IFERROR(INDEX(Kategorien!$B$5:$B$37,MATCH(B341,Kategorien!$A$5:$A$37,0)),"unbekannte Kategorie"))</f>
        <v/>
      </c>
    </row>
    <row r="342" customFormat="false" ht="15" hidden="false" customHeight="false" outlineLevel="0" collapsed="false">
      <c r="A342" s="29"/>
      <c r="B342" s="30"/>
      <c r="C342" s="30"/>
      <c r="D342" s="31"/>
      <c r="E342" s="32" t="str">
        <f aca="false">IF(B342="","",IFERROR(INDEX(Kategorien!$B$5:$B$37,MATCH(B342,Kategorien!$A$5:$A$37,0)),"unbekannte Kategorie"))</f>
        <v/>
      </c>
    </row>
    <row r="343" customFormat="false" ht="15" hidden="false" customHeight="false" outlineLevel="0" collapsed="false">
      <c r="A343" s="29"/>
      <c r="B343" s="30"/>
      <c r="C343" s="30"/>
      <c r="D343" s="31"/>
      <c r="E343" s="32" t="str">
        <f aca="false">IF(B343="","",IFERROR(INDEX(Kategorien!$B$5:$B$37,MATCH(B343,Kategorien!$A$5:$A$37,0)),"unbekannte Kategorie"))</f>
        <v/>
      </c>
    </row>
    <row r="344" customFormat="false" ht="15" hidden="false" customHeight="false" outlineLevel="0" collapsed="false">
      <c r="A344" s="29"/>
      <c r="B344" s="30"/>
      <c r="C344" s="30"/>
      <c r="D344" s="31"/>
      <c r="E344" s="32" t="str">
        <f aca="false">IF(B344="","",IFERROR(INDEX(Kategorien!$B$5:$B$37,MATCH(B344,Kategorien!$A$5:$A$37,0)),"unbekannte Kategorie"))</f>
        <v/>
      </c>
    </row>
    <row r="345" customFormat="false" ht="15" hidden="false" customHeight="false" outlineLevel="0" collapsed="false">
      <c r="A345" s="29"/>
      <c r="B345" s="30"/>
      <c r="C345" s="30"/>
      <c r="D345" s="31"/>
      <c r="E345" s="32" t="str">
        <f aca="false">IF(B345="","",IFERROR(INDEX(Kategorien!$B$5:$B$37,MATCH(B345,Kategorien!$A$5:$A$37,0)),"unbekannte Kategorie"))</f>
        <v/>
      </c>
    </row>
    <row r="346" customFormat="false" ht="15" hidden="false" customHeight="false" outlineLevel="0" collapsed="false">
      <c r="A346" s="29"/>
      <c r="B346" s="30"/>
      <c r="C346" s="30"/>
      <c r="D346" s="31"/>
      <c r="E346" s="32" t="str">
        <f aca="false">IF(B346="","",IFERROR(INDEX(Kategorien!$B$5:$B$37,MATCH(B346,Kategorien!$A$5:$A$37,0)),"unbekannte Kategorie"))</f>
        <v/>
      </c>
    </row>
    <row r="347" customFormat="false" ht="15" hidden="false" customHeight="false" outlineLevel="0" collapsed="false">
      <c r="A347" s="29"/>
      <c r="B347" s="30"/>
      <c r="C347" s="30"/>
      <c r="D347" s="31"/>
      <c r="E347" s="32" t="str">
        <f aca="false">IF(B347="","",IFERROR(INDEX(Kategorien!$B$5:$B$37,MATCH(B347,Kategorien!$A$5:$A$37,0)),"unbekannte Kategorie"))</f>
        <v/>
      </c>
    </row>
    <row r="348" customFormat="false" ht="15" hidden="false" customHeight="false" outlineLevel="0" collapsed="false">
      <c r="A348" s="29"/>
      <c r="B348" s="30"/>
      <c r="C348" s="30"/>
      <c r="D348" s="31"/>
      <c r="E348" s="32" t="str">
        <f aca="false">IF(B348="","",IFERROR(INDEX(Kategorien!$B$5:$B$37,MATCH(B348,Kategorien!$A$5:$A$37,0)),"unbekannte Kategorie"))</f>
        <v/>
      </c>
    </row>
    <row r="349" customFormat="false" ht="15" hidden="false" customHeight="false" outlineLevel="0" collapsed="false">
      <c r="A349" s="29"/>
      <c r="B349" s="30"/>
      <c r="C349" s="30"/>
      <c r="D349" s="31"/>
      <c r="E349" s="32" t="str">
        <f aca="false">IF(B349="","",IFERROR(INDEX(Kategorien!$B$5:$B$37,MATCH(B349,Kategorien!$A$5:$A$37,0)),"unbekannte Kategorie"))</f>
        <v/>
      </c>
    </row>
    <row r="350" customFormat="false" ht="15" hidden="false" customHeight="false" outlineLevel="0" collapsed="false">
      <c r="A350" s="29"/>
      <c r="B350" s="30"/>
      <c r="C350" s="30"/>
      <c r="D350" s="31"/>
      <c r="E350" s="32" t="str">
        <f aca="false">IF(B350="","",IFERROR(INDEX(Kategorien!$B$5:$B$37,MATCH(B350,Kategorien!$A$5:$A$37,0)),"unbekannte Kategorie"))</f>
        <v/>
      </c>
    </row>
    <row r="351" customFormat="false" ht="15" hidden="false" customHeight="false" outlineLevel="0" collapsed="false">
      <c r="A351" s="29"/>
      <c r="B351" s="30"/>
      <c r="C351" s="30"/>
      <c r="D351" s="31"/>
      <c r="E351" s="32" t="str">
        <f aca="false">IF(B351="","",IFERROR(INDEX(Kategorien!$B$5:$B$37,MATCH(B351,Kategorien!$A$5:$A$37,0)),"unbekannte Kategorie"))</f>
        <v/>
      </c>
    </row>
    <row r="352" customFormat="false" ht="15" hidden="false" customHeight="false" outlineLevel="0" collapsed="false">
      <c r="A352" s="29"/>
      <c r="B352" s="30"/>
      <c r="C352" s="30"/>
      <c r="D352" s="31"/>
      <c r="E352" s="32" t="str">
        <f aca="false">IF(B352="","",IFERROR(INDEX(Kategorien!$B$5:$B$37,MATCH(B352,Kategorien!$A$5:$A$37,0)),"unbekannte Kategorie"))</f>
        <v/>
      </c>
    </row>
    <row r="353" customFormat="false" ht="15" hidden="false" customHeight="false" outlineLevel="0" collapsed="false">
      <c r="A353" s="29"/>
      <c r="B353" s="30"/>
      <c r="C353" s="30"/>
      <c r="D353" s="31"/>
      <c r="E353" s="32" t="str">
        <f aca="false">IF(B353="","",IFERROR(INDEX(Kategorien!$B$5:$B$37,MATCH(B353,Kategorien!$A$5:$A$37,0)),"unbekannte Kategorie"))</f>
        <v/>
      </c>
    </row>
    <row r="354" customFormat="false" ht="15" hidden="false" customHeight="false" outlineLevel="0" collapsed="false">
      <c r="A354" s="29"/>
      <c r="B354" s="30"/>
      <c r="C354" s="30"/>
      <c r="D354" s="31"/>
      <c r="E354" s="32" t="str">
        <f aca="false">IF(B354="","",IFERROR(INDEX(Kategorien!$B$5:$B$37,MATCH(B354,Kategorien!$A$5:$A$37,0)),"unbekannte Kategorie"))</f>
        <v/>
      </c>
    </row>
    <row r="355" customFormat="false" ht="15" hidden="false" customHeight="false" outlineLevel="0" collapsed="false">
      <c r="A355" s="29"/>
      <c r="B355" s="30"/>
      <c r="C355" s="30"/>
      <c r="D355" s="31"/>
      <c r="E355" s="32" t="str">
        <f aca="false">IF(B355="","",IFERROR(INDEX(Kategorien!$B$5:$B$37,MATCH(B355,Kategorien!$A$5:$A$37,0)),"unbekannte Kategorie"))</f>
        <v/>
      </c>
    </row>
    <row r="356" customFormat="false" ht="15" hidden="false" customHeight="false" outlineLevel="0" collapsed="false">
      <c r="A356" s="29"/>
      <c r="B356" s="30"/>
      <c r="C356" s="30"/>
      <c r="D356" s="31"/>
      <c r="E356" s="32" t="str">
        <f aca="false">IF(B356="","",IFERROR(INDEX(Kategorien!$B$5:$B$37,MATCH(B356,Kategorien!$A$5:$A$37,0)),"unbekannte Kategorie"))</f>
        <v/>
      </c>
    </row>
    <row r="357" customFormat="false" ht="15" hidden="false" customHeight="false" outlineLevel="0" collapsed="false">
      <c r="A357" s="29"/>
      <c r="B357" s="30"/>
      <c r="C357" s="30"/>
      <c r="D357" s="31"/>
      <c r="E357" s="32" t="str">
        <f aca="false">IF(B357="","",IFERROR(INDEX(Kategorien!$B$5:$B$37,MATCH(B357,Kategorien!$A$5:$A$37,0)),"unbekannte Kategorie"))</f>
        <v/>
      </c>
    </row>
    <row r="358" customFormat="false" ht="15" hidden="false" customHeight="false" outlineLevel="0" collapsed="false">
      <c r="A358" s="29"/>
      <c r="B358" s="30"/>
      <c r="C358" s="30"/>
      <c r="D358" s="31"/>
      <c r="E358" s="32" t="str">
        <f aca="false">IF(B358="","",IFERROR(INDEX(Kategorien!$B$5:$B$37,MATCH(B358,Kategorien!$A$5:$A$37,0)),"unbekannte Kategorie"))</f>
        <v/>
      </c>
    </row>
    <row r="359" customFormat="false" ht="15" hidden="false" customHeight="false" outlineLevel="0" collapsed="false">
      <c r="A359" s="29"/>
      <c r="B359" s="30"/>
      <c r="C359" s="30"/>
      <c r="D359" s="31"/>
      <c r="E359" s="32" t="str">
        <f aca="false">IF(B359="","",IFERROR(INDEX(Kategorien!$B$5:$B$37,MATCH(B359,Kategorien!$A$5:$A$37,0)),"unbekannte Kategorie"))</f>
        <v/>
      </c>
    </row>
    <row r="360" customFormat="false" ht="15" hidden="false" customHeight="false" outlineLevel="0" collapsed="false">
      <c r="A360" s="29"/>
      <c r="B360" s="30"/>
      <c r="C360" s="30"/>
      <c r="D360" s="31"/>
      <c r="E360" s="32" t="str">
        <f aca="false">IF(B360="","",IFERROR(INDEX(Kategorien!$B$5:$B$37,MATCH(B360,Kategorien!$A$5:$A$37,0)),"unbekannte Kategorie"))</f>
        <v/>
      </c>
    </row>
    <row r="361" customFormat="false" ht="15" hidden="false" customHeight="false" outlineLevel="0" collapsed="false">
      <c r="A361" s="29"/>
      <c r="B361" s="30"/>
      <c r="C361" s="30"/>
      <c r="D361" s="31"/>
      <c r="E361" s="32" t="str">
        <f aca="false">IF(B361="","",IFERROR(INDEX(Kategorien!$B$5:$B$37,MATCH(B361,Kategorien!$A$5:$A$37,0)),"unbekannte Kategorie"))</f>
        <v/>
      </c>
    </row>
    <row r="362" customFormat="false" ht="15" hidden="false" customHeight="false" outlineLevel="0" collapsed="false">
      <c r="A362" s="29"/>
      <c r="B362" s="30"/>
      <c r="C362" s="30"/>
      <c r="D362" s="31"/>
      <c r="E362" s="32" t="str">
        <f aca="false">IF(B362="","",IFERROR(INDEX(Kategorien!$B$5:$B$37,MATCH(B362,Kategorien!$A$5:$A$37,0)),"unbekannte Kategorie"))</f>
        <v/>
      </c>
    </row>
    <row r="363" customFormat="false" ht="15" hidden="false" customHeight="false" outlineLevel="0" collapsed="false">
      <c r="A363" s="29"/>
      <c r="B363" s="30"/>
      <c r="C363" s="30"/>
      <c r="D363" s="31"/>
      <c r="E363" s="32" t="str">
        <f aca="false">IF(B363="","",IFERROR(INDEX(Kategorien!$B$5:$B$37,MATCH(B363,Kategorien!$A$5:$A$37,0)),"unbekannte Kategorie"))</f>
        <v/>
      </c>
    </row>
    <row r="364" customFormat="false" ht="15" hidden="false" customHeight="false" outlineLevel="0" collapsed="false">
      <c r="A364" s="29"/>
      <c r="B364" s="30"/>
      <c r="C364" s="30"/>
      <c r="D364" s="31"/>
      <c r="E364" s="32" t="str">
        <f aca="false">IF(B364="","",IFERROR(INDEX(Kategorien!$B$5:$B$37,MATCH(B364,Kategorien!$A$5:$A$37,0)),"unbekannte Kategorie"))</f>
        <v/>
      </c>
    </row>
    <row r="365" customFormat="false" ht="15" hidden="false" customHeight="false" outlineLevel="0" collapsed="false">
      <c r="A365" s="29"/>
      <c r="B365" s="30"/>
      <c r="C365" s="30"/>
      <c r="D365" s="31"/>
      <c r="E365" s="32" t="str">
        <f aca="false">IF(B365="","",IFERROR(INDEX(Kategorien!$B$5:$B$37,MATCH(B365,Kategorien!$A$5:$A$37,0)),"unbekannte Kategorie"))</f>
        <v/>
      </c>
    </row>
    <row r="366" customFormat="false" ht="15" hidden="false" customHeight="false" outlineLevel="0" collapsed="false">
      <c r="A366" s="29"/>
      <c r="B366" s="30"/>
      <c r="C366" s="30"/>
      <c r="D366" s="31"/>
      <c r="E366" s="32" t="str">
        <f aca="false">IF(B366="","",IFERROR(INDEX(Kategorien!$B$5:$B$37,MATCH(B366,Kategorien!$A$5:$A$37,0)),"unbekannte Kategorie"))</f>
        <v/>
      </c>
    </row>
    <row r="367" customFormat="false" ht="15" hidden="false" customHeight="false" outlineLevel="0" collapsed="false">
      <c r="A367" s="29"/>
      <c r="B367" s="30"/>
      <c r="C367" s="30"/>
      <c r="D367" s="31"/>
      <c r="E367" s="32" t="str">
        <f aca="false">IF(B367="","",IFERROR(INDEX(Kategorien!$B$5:$B$37,MATCH(B367,Kategorien!$A$5:$A$37,0)),"unbekannte Kategorie"))</f>
        <v/>
      </c>
    </row>
    <row r="368" customFormat="false" ht="15" hidden="false" customHeight="false" outlineLevel="0" collapsed="false">
      <c r="A368" s="29"/>
      <c r="B368" s="30"/>
      <c r="C368" s="30"/>
      <c r="D368" s="31"/>
      <c r="E368" s="32" t="str">
        <f aca="false">IF(B368="","",IFERROR(INDEX(Kategorien!$B$5:$B$37,MATCH(B368,Kategorien!$A$5:$A$37,0)),"unbekannte Kategorie"))</f>
        <v/>
      </c>
    </row>
    <row r="369" customFormat="false" ht="15" hidden="false" customHeight="false" outlineLevel="0" collapsed="false">
      <c r="A369" s="29"/>
      <c r="B369" s="30"/>
      <c r="C369" s="30"/>
      <c r="D369" s="31"/>
      <c r="E369" s="32" t="str">
        <f aca="false">IF(B369="","",IFERROR(INDEX(Kategorien!$B$5:$B$37,MATCH(B369,Kategorien!$A$5:$A$37,0)),"unbekannte Kategorie"))</f>
        <v/>
      </c>
    </row>
    <row r="370" customFormat="false" ht="15" hidden="false" customHeight="false" outlineLevel="0" collapsed="false">
      <c r="A370" s="29"/>
      <c r="B370" s="30"/>
      <c r="C370" s="30"/>
      <c r="D370" s="31"/>
      <c r="E370" s="32" t="str">
        <f aca="false">IF(B370="","",IFERROR(INDEX(Kategorien!$B$5:$B$37,MATCH(B370,Kategorien!$A$5:$A$37,0)),"unbekannte Kategorie"))</f>
        <v/>
      </c>
    </row>
    <row r="371" customFormat="false" ht="15" hidden="false" customHeight="false" outlineLevel="0" collapsed="false">
      <c r="A371" s="29"/>
      <c r="B371" s="30"/>
      <c r="C371" s="30"/>
      <c r="D371" s="31"/>
      <c r="E371" s="32" t="str">
        <f aca="false">IF(B371="","",IFERROR(INDEX(Kategorien!$B$5:$B$37,MATCH(B371,Kategorien!$A$5:$A$37,0)),"unbekannte Kategorie"))</f>
        <v/>
      </c>
    </row>
    <row r="372" customFormat="false" ht="15" hidden="false" customHeight="false" outlineLevel="0" collapsed="false">
      <c r="A372" s="29"/>
      <c r="B372" s="30"/>
      <c r="C372" s="30"/>
      <c r="D372" s="31"/>
      <c r="E372" s="32" t="str">
        <f aca="false">IF(B372="","",IFERROR(INDEX(Kategorien!$B$5:$B$37,MATCH(B372,Kategorien!$A$5:$A$37,0)),"unbekannte Kategorie"))</f>
        <v/>
      </c>
    </row>
    <row r="373" customFormat="false" ht="15" hidden="false" customHeight="false" outlineLevel="0" collapsed="false">
      <c r="A373" s="29"/>
      <c r="B373" s="30"/>
      <c r="C373" s="30"/>
      <c r="D373" s="31"/>
      <c r="E373" s="32" t="str">
        <f aca="false">IF(B373="","",IFERROR(INDEX(Kategorien!$B$5:$B$37,MATCH(B373,Kategorien!$A$5:$A$37,0)),"unbekannte Kategorie"))</f>
        <v/>
      </c>
    </row>
    <row r="374" customFormat="false" ht="15" hidden="false" customHeight="false" outlineLevel="0" collapsed="false">
      <c r="A374" s="29"/>
      <c r="B374" s="30"/>
      <c r="C374" s="30"/>
      <c r="D374" s="31"/>
      <c r="E374" s="32" t="str">
        <f aca="false">IF(B374="","",IFERROR(INDEX(Kategorien!$B$5:$B$37,MATCH(B374,Kategorien!$A$5:$A$37,0)),"unbekannte Kategorie"))</f>
        <v/>
      </c>
    </row>
    <row r="375" customFormat="false" ht="15" hidden="false" customHeight="false" outlineLevel="0" collapsed="false">
      <c r="A375" s="29"/>
      <c r="B375" s="30"/>
      <c r="C375" s="30"/>
      <c r="D375" s="31"/>
      <c r="E375" s="32" t="str">
        <f aca="false">IF(B375="","",IFERROR(INDEX(Kategorien!$B$5:$B$37,MATCH(B375,Kategorien!$A$5:$A$37,0)),"unbekannte Kategorie"))</f>
        <v/>
      </c>
    </row>
    <row r="376" customFormat="false" ht="15" hidden="false" customHeight="false" outlineLevel="0" collapsed="false">
      <c r="A376" s="29"/>
      <c r="B376" s="30"/>
      <c r="C376" s="30"/>
      <c r="D376" s="31"/>
      <c r="E376" s="32" t="str">
        <f aca="false">IF(B376="","",IFERROR(INDEX(Kategorien!$B$5:$B$37,MATCH(B376,Kategorien!$A$5:$A$37,0)),"unbekannte Kategorie"))</f>
        <v/>
      </c>
    </row>
    <row r="377" customFormat="false" ht="15" hidden="false" customHeight="false" outlineLevel="0" collapsed="false">
      <c r="A377" s="29"/>
      <c r="B377" s="30"/>
      <c r="C377" s="30"/>
      <c r="D377" s="31"/>
      <c r="E377" s="32" t="str">
        <f aca="false">IF(B377="","",IFERROR(INDEX(Kategorien!$B$5:$B$37,MATCH(B377,Kategorien!$A$5:$A$37,0)),"unbekannte Kategorie"))</f>
        <v/>
      </c>
    </row>
    <row r="378" customFormat="false" ht="15" hidden="false" customHeight="false" outlineLevel="0" collapsed="false">
      <c r="A378" s="29"/>
      <c r="B378" s="30"/>
      <c r="C378" s="30"/>
      <c r="D378" s="31"/>
      <c r="E378" s="32" t="str">
        <f aca="false">IF(B378="","",IFERROR(INDEX(Kategorien!$B$5:$B$37,MATCH(B378,Kategorien!$A$5:$A$37,0)),"unbekannte Kategorie"))</f>
        <v/>
      </c>
    </row>
    <row r="379" customFormat="false" ht="15" hidden="false" customHeight="false" outlineLevel="0" collapsed="false">
      <c r="A379" s="29"/>
      <c r="B379" s="30"/>
      <c r="C379" s="30"/>
      <c r="D379" s="31"/>
      <c r="E379" s="32" t="str">
        <f aca="false">IF(B379="","",IFERROR(INDEX(Kategorien!$B$5:$B$37,MATCH(B379,Kategorien!$A$5:$A$37,0)),"unbekannte Kategorie"))</f>
        <v/>
      </c>
    </row>
    <row r="380" customFormat="false" ht="15" hidden="false" customHeight="false" outlineLevel="0" collapsed="false">
      <c r="A380" s="29"/>
      <c r="B380" s="30"/>
      <c r="C380" s="30"/>
      <c r="D380" s="31"/>
      <c r="E380" s="32" t="str">
        <f aca="false">IF(B380="","",IFERROR(INDEX(Kategorien!$B$5:$B$37,MATCH(B380,Kategorien!$A$5:$A$37,0)),"unbekannte Kategorie"))</f>
        <v/>
      </c>
    </row>
    <row r="381" customFormat="false" ht="15" hidden="false" customHeight="false" outlineLevel="0" collapsed="false">
      <c r="A381" s="29"/>
      <c r="B381" s="30"/>
      <c r="C381" s="30"/>
      <c r="D381" s="31"/>
      <c r="E381" s="32" t="str">
        <f aca="false">IF(B381="","",IFERROR(INDEX(Kategorien!$B$5:$B$37,MATCH(B381,Kategorien!$A$5:$A$37,0)),"unbekannte Kategorie"))</f>
        <v/>
      </c>
    </row>
    <row r="382" customFormat="false" ht="15" hidden="false" customHeight="false" outlineLevel="0" collapsed="false">
      <c r="A382" s="29"/>
      <c r="B382" s="30"/>
      <c r="C382" s="30"/>
      <c r="D382" s="31"/>
      <c r="E382" s="32" t="str">
        <f aca="false">IF(B382="","",IFERROR(INDEX(Kategorien!$B$5:$B$37,MATCH(B382,Kategorien!$A$5:$A$37,0)),"unbekannte Kategorie"))</f>
        <v/>
      </c>
    </row>
    <row r="383" customFormat="false" ht="15" hidden="false" customHeight="false" outlineLevel="0" collapsed="false">
      <c r="A383" s="29"/>
      <c r="B383" s="30"/>
      <c r="C383" s="30"/>
      <c r="D383" s="31"/>
      <c r="E383" s="32" t="str">
        <f aca="false">IF(B383="","",IFERROR(INDEX(Kategorien!$B$5:$B$37,MATCH(B383,Kategorien!$A$5:$A$37,0)),"unbekannte Kategorie"))</f>
        <v/>
      </c>
    </row>
    <row r="384" customFormat="false" ht="15" hidden="false" customHeight="false" outlineLevel="0" collapsed="false">
      <c r="A384" s="29"/>
      <c r="B384" s="30"/>
      <c r="C384" s="30"/>
      <c r="D384" s="31"/>
      <c r="E384" s="32" t="str">
        <f aca="false">IF(B384="","",IFERROR(INDEX(Kategorien!$B$5:$B$37,MATCH(B384,Kategorien!$A$5:$A$37,0)),"unbekannte Kategorie"))</f>
        <v/>
      </c>
    </row>
    <row r="385" customFormat="false" ht="15" hidden="false" customHeight="false" outlineLevel="0" collapsed="false">
      <c r="A385" s="29"/>
      <c r="B385" s="30"/>
      <c r="C385" s="30"/>
      <c r="D385" s="31"/>
      <c r="E385" s="32" t="str">
        <f aca="false">IF(B385="","",IFERROR(INDEX(Kategorien!$B$5:$B$37,MATCH(B385,Kategorien!$A$5:$A$37,0)),"unbekannte Kategorie"))</f>
        <v/>
      </c>
    </row>
    <row r="386" customFormat="false" ht="15" hidden="false" customHeight="false" outlineLevel="0" collapsed="false">
      <c r="A386" s="29"/>
      <c r="B386" s="30"/>
      <c r="C386" s="30"/>
      <c r="D386" s="31"/>
      <c r="E386" s="32" t="str">
        <f aca="false">IF(B386="","",IFERROR(INDEX(Kategorien!$B$5:$B$37,MATCH(B386,Kategorien!$A$5:$A$37,0)),"unbekannte Kategorie"))</f>
        <v/>
      </c>
    </row>
    <row r="387" customFormat="false" ht="15" hidden="false" customHeight="false" outlineLevel="0" collapsed="false">
      <c r="A387" s="29"/>
      <c r="B387" s="30"/>
      <c r="C387" s="30"/>
      <c r="D387" s="31"/>
      <c r="E387" s="32" t="str">
        <f aca="false">IF(B387="","",IFERROR(INDEX(Kategorien!$B$5:$B$37,MATCH(B387,Kategorien!$A$5:$A$37,0)),"unbekannte Kategorie"))</f>
        <v/>
      </c>
    </row>
    <row r="388" customFormat="false" ht="15" hidden="false" customHeight="false" outlineLevel="0" collapsed="false">
      <c r="A388" s="29"/>
      <c r="B388" s="30"/>
      <c r="C388" s="30"/>
      <c r="D388" s="31"/>
      <c r="E388" s="32" t="str">
        <f aca="false">IF(B388="","",IFERROR(INDEX(Kategorien!$B$5:$B$37,MATCH(B388,Kategorien!$A$5:$A$37,0)),"unbekannte Kategorie"))</f>
        <v/>
      </c>
    </row>
    <row r="389" customFormat="false" ht="15" hidden="false" customHeight="false" outlineLevel="0" collapsed="false">
      <c r="A389" s="29"/>
      <c r="B389" s="30"/>
      <c r="C389" s="30"/>
      <c r="D389" s="31"/>
      <c r="E389" s="32" t="str">
        <f aca="false">IF(B389="","",IFERROR(INDEX(Kategorien!$B$5:$B$37,MATCH(B389,Kategorien!$A$5:$A$37,0)),"unbekannte Kategorie"))</f>
        <v/>
      </c>
    </row>
    <row r="390" customFormat="false" ht="15" hidden="false" customHeight="false" outlineLevel="0" collapsed="false">
      <c r="A390" s="29"/>
      <c r="B390" s="30"/>
      <c r="C390" s="30"/>
      <c r="D390" s="31"/>
      <c r="E390" s="32" t="str">
        <f aca="false">IF(B390="","",IFERROR(INDEX(Kategorien!$B$5:$B$37,MATCH(B390,Kategorien!$A$5:$A$37,0)),"unbekannte Kategorie"))</f>
        <v/>
      </c>
    </row>
    <row r="391" customFormat="false" ht="15" hidden="false" customHeight="false" outlineLevel="0" collapsed="false">
      <c r="A391" s="29"/>
      <c r="B391" s="30"/>
      <c r="C391" s="30"/>
      <c r="D391" s="31"/>
      <c r="E391" s="32" t="str">
        <f aca="false">IF(B391="","",IFERROR(INDEX(Kategorien!$B$5:$B$37,MATCH(B391,Kategorien!$A$5:$A$37,0)),"unbekannte Kategorie"))</f>
        <v/>
      </c>
    </row>
    <row r="392" customFormat="false" ht="15" hidden="false" customHeight="false" outlineLevel="0" collapsed="false">
      <c r="A392" s="29"/>
      <c r="B392" s="30"/>
      <c r="C392" s="30"/>
      <c r="D392" s="31"/>
      <c r="E392" s="32" t="str">
        <f aca="false">IF(B392="","",IFERROR(INDEX(Kategorien!$B$5:$B$37,MATCH(B392,Kategorien!$A$5:$A$37,0)),"unbekannte Kategorie"))</f>
        <v/>
      </c>
    </row>
    <row r="393" customFormat="false" ht="15" hidden="false" customHeight="false" outlineLevel="0" collapsed="false">
      <c r="A393" s="29"/>
      <c r="B393" s="30"/>
      <c r="C393" s="30"/>
      <c r="D393" s="31"/>
      <c r="E393" s="32" t="str">
        <f aca="false">IF(B393="","",IFERROR(INDEX(Kategorien!$B$5:$B$37,MATCH(B393,Kategorien!$A$5:$A$37,0)),"unbekannte Kategorie"))</f>
        <v/>
      </c>
    </row>
    <row r="394" customFormat="false" ht="15" hidden="false" customHeight="false" outlineLevel="0" collapsed="false">
      <c r="A394" s="29"/>
      <c r="B394" s="30"/>
      <c r="C394" s="30"/>
      <c r="D394" s="31"/>
      <c r="E394" s="32" t="str">
        <f aca="false">IF(B394="","",IFERROR(INDEX(Kategorien!$B$5:$B$37,MATCH(B394,Kategorien!$A$5:$A$37,0)),"unbekannte Kategorie"))</f>
        <v/>
      </c>
    </row>
    <row r="395" customFormat="false" ht="15" hidden="false" customHeight="false" outlineLevel="0" collapsed="false">
      <c r="A395" s="29"/>
      <c r="B395" s="30"/>
      <c r="C395" s="30"/>
      <c r="D395" s="31"/>
      <c r="E395" s="32" t="str">
        <f aca="false">IF(B395="","",IFERROR(INDEX(Kategorien!$B$5:$B$37,MATCH(B395,Kategorien!$A$5:$A$37,0)),"unbekannte Kategorie"))</f>
        <v/>
      </c>
    </row>
    <row r="396" customFormat="false" ht="15" hidden="false" customHeight="false" outlineLevel="0" collapsed="false">
      <c r="A396" s="29"/>
      <c r="B396" s="30"/>
      <c r="C396" s="30"/>
      <c r="D396" s="31"/>
      <c r="E396" s="32" t="str">
        <f aca="false">IF(B396="","",IFERROR(INDEX(Kategorien!$B$5:$B$37,MATCH(B396,Kategorien!$A$5:$A$37,0)),"unbekannte Kategorie"))</f>
        <v/>
      </c>
    </row>
    <row r="397" customFormat="false" ht="15" hidden="false" customHeight="false" outlineLevel="0" collapsed="false">
      <c r="A397" s="29"/>
      <c r="B397" s="30"/>
      <c r="C397" s="30"/>
      <c r="D397" s="31"/>
      <c r="E397" s="32" t="str">
        <f aca="false">IF(B397="","",IFERROR(INDEX(Kategorien!$B$5:$B$37,MATCH(B397,Kategorien!$A$5:$A$37,0)),"unbekannte Kategorie"))</f>
        <v/>
      </c>
    </row>
    <row r="398" customFormat="false" ht="15" hidden="false" customHeight="false" outlineLevel="0" collapsed="false">
      <c r="A398" s="29"/>
      <c r="B398" s="30"/>
      <c r="C398" s="30"/>
      <c r="D398" s="31"/>
      <c r="E398" s="32" t="str">
        <f aca="false">IF(B398="","",IFERROR(INDEX(Kategorien!$B$5:$B$37,MATCH(B398,Kategorien!$A$5:$A$37,0)),"unbekannte Kategorie"))</f>
        <v/>
      </c>
    </row>
    <row r="399" customFormat="false" ht="15" hidden="false" customHeight="false" outlineLevel="0" collapsed="false">
      <c r="A399" s="29"/>
      <c r="B399" s="30"/>
      <c r="C399" s="30"/>
      <c r="D399" s="31"/>
      <c r="E399" s="32" t="str">
        <f aca="false">IF(B399="","",IFERROR(INDEX(Kategorien!$B$5:$B$37,MATCH(B399,Kategorien!$A$5:$A$37,0)),"unbekannte Kategorie"))</f>
        <v/>
      </c>
    </row>
    <row r="400" customFormat="false" ht="15" hidden="false" customHeight="false" outlineLevel="0" collapsed="false">
      <c r="A400" s="29"/>
      <c r="B400" s="30"/>
      <c r="C400" s="30"/>
      <c r="D400" s="31"/>
      <c r="E400" s="32" t="str">
        <f aca="false">IF(B400="","",IFERROR(INDEX(Kategorien!$B$5:$B$37,MATCH(B400,Kategorien!$A$5:$A$37,0)),"unbekannte Kategorie"))</f>
        <v/>
      </c>
    </row>
    <row r="401" customFormat="false" ht="15" hidden="false" customHeight="false" outlineLevel="0" collapsed="false">
      <c r="A401" s="29"/>
      <c r="B401" s="30"/>
      <c r="C401" s="30"/>
      <c r="D401" s="31"/>
      <c r="E401" s="32" t="str">
        <f aca="false">IF(B401="","",IFERROR(INDEX(Kategorien!$B$5:$B$37,MATCH(B401,Kategorien!$A$5:$A$37,0)),"unbekannte Kategorie"))</f>
        <v/>
      </c>
    </row>
    <row r="402" customFormat="false" ht="15" hidden="false" customHeight="false" outlineLevel="0" collapsed="false">
      <c r="A402" s="29"/>
      <c r="B402" s="30"/>
      <c r="C402" s="30"/>
      <c r="D402" s="31"/>
      <c r="E402" s="32" t="str">
        <f aca="false">IF(B402="","",IFERROR(INDEX(Kategorien!$B$5:$B$37,MATCH(B402,Kategorien!$A$5:$A$37,0)),"unbekannte Kategorie"))</f>
        <v/>
      </c>
    </row>
    <row r="403" customFormat="false" ht="15" hidden="false" customHeight="false" outlineLevel="0" collapsed="false">
      <c r="A403" s="29"/>
      <c r="B403" s="30"/>
      <c r="C403" s="30"/>
      <c r="D403" s="31"/>
      <c r="E403" s="32" t="str">
        <f aca="false">IF(B403="","",IFERROR(INDEX(Kategorien!$B$5:$B$37,MATCH(B403,Kategorien!$A$5:$A$37,0)),"unbekannte Kategorie"))</f>
        <v/>
      </c>
    </row>
    <row r="404" customFormat="false" ht="15" hidden="false" customHeight="false" outlineLevel="0" collapsed="false">
      <c r="A404" s="29"/>
      <c r="B404" s="30"/>
      <c r="C404" s="30"/>
      <c r="D404" s="31"/>
      <c r="E404" s="32" t="str">
        <f aca="false">IF(B404="","",IFERROR(INDEX(Kategorien!$B$5:$B$37,MATCH(B404,Kategorien!$A$5:$A$37,0)),"unbekannte Kategorie"))</f>
        <v/>
      </c>
    </row>
    <row r="405" customFormat="false" ht="15" hidden="false" customHeight="false" outlineLevel="0" collapsed="false">
      <c r="A405" s="29"/>
      <c r="B405" s="30"/>
      <c r="C405" s="30"/>
      <c r="D405" s="31"/>
      <c r="E405" s="32" t="str">
        <f aca="false">IF(B405="","",IFERROR(INDEX(Kategorien!$B$5:$B$37,MATCH(B405,Kategorien!$A$5:$A$37,0)),"unbekannte Kategorie"))</f>
        <v/>
      </c>
    </row>
    <row r="406" customFormat="false" ht="15" hidden="false" customHeight="false" outlineLevel="0" collapsed="false">
      <c r="A406" s="29"/>
      <c r="B406" s="30"/>
      <c r="C406" s="30"/>
      <c r="D406" s="31"/>
      <c r="E406" s="32" t="str">
        <f aca="false">IF(B406="","",IFERROR(INDEX(Kategorien!$B$5:$B$37,MATCH(B406,Kategorien!$A$5:$A$37,0)),"unbekannte Kategorie"))</f>
        <v/>
      </c>
    </row>
    <row r="407" customFormat="false" ht="15" hidden="false" customHeight="false" outlineLevel="0" collapsed="false">
      <c r="A407" s="29"/>
      <c r="B407" s="30"/>
      <c r="C407" s="30"/>
      <c r="D407" s="31"/>
      <c r="E407" s="32" t="str">
        <f aca="false">IF(B407="","",IFERROR(INDEX(Kategorien!$B$5:$B$37,MATCH(B407,Kategorien!$A$5:$A$37,0)),"unbekannte Kategorie"))</f>
        <v/>
      </c>
    </row>
    <row r="408" customFormat="false" ht="15" hidden="false" customHeight="false" outlineLevel="0" collapsed="false">
      <c r="A408" s="29"/>
      <c r="B408" s="30"/>
      <c r="C408" s="30"/>
      <c r="D408" s="31"/>
      <c r="E408" s="32" t="str">
        <f aca="false">IF(B408="","",IFERROR(INDEX(Kategorien!$B$5:$B$37,MATCH(B408,Kategorien!$A$5:$A$37,0)),"unbekannte Kategorie"))</f>
        <v/>
      </c>
    </row>
    <row r="409" customFormat="false" ht="15" hidden="false" customHeight="false" outlineLevel="0" collapsed="false">
      <c r="A409" s="29"/>
      <c r="B409" s="30"/>
      <c r="C409" s="30"/>
      <c r="D409" s="31"/>
      <c r="E409" s="32" t="str">
        <f aca="false">IF(B409="","",IFERROR(INDEX(Kategorien!$B$5:$B$37,MATCH(B409,Kategorien!$A$5:$A$37,0)),"unbekannte Kategorie"))</f>
        <v/>
      </c>
    </row>
    <row r="410" customFormat="false" ht="15" hidden="false" customHeight="false" outlineLevel="0" collapsed="false">
      <c r="A410" s="29"/>
      <c r="B410" s="30"/>
      <c r="C410" s="30"/>
      <c r="D410" s="31"/>
      <c r="E410" s="32" t="str">
        <f aca="false">IF(B410="","",IFERROR(INDEX(Kategorien!$B$5:$B$37,MATCH(B410,Kategorien!$A$5:$A$37,0)),"unbekannte Kategorie"))</f>
        <v/>
      </c>
    </row>
    <row r="411" customFormat="false" ht="15" hidden="false" customHeight="false" outlineLevel="0" collapsed="false">
      <c r="A411" s="29"/>
      <c r="B411" s="30"/>
      <c r="C411" s="30"/>
      <c r="D411" s="31"/>
      <c r="E411" s="32" t="str">
        <f aca="false">IF(B411="","",IFERROR(INDEX(Kategorien!$B$5:$B$37,MATCH(B411,Kategorien!$A$5:$A$37,0)),"unbekannte Kategorie"))</f>
        <v/>
      </c>
    </row>
    <row r="412" customFormat="false" ht="15" hidden="false" customHeight="false" outlineLevel="0" collapsed="false">
      <c r="A412" s="29"/>
      <c r="B412" s="30"/>
      <c r="C412" s="30"/>
      <c r="D412" s="31"/>
      <c r="E412" s="32" t="str">
        <f aca="false">IF(B412="","",IFERROR(INDEX(Kategorien!$B$5:$B$37,MATCH(B412,Kategorien!$A$5:$A$37,0)),"unbekannte Kategorie"))</f>
        <v/>
      </c>
    </row>
    <row r="413" customFormat="false" ht="15" hidden="false" customHeight="false" outlineLevel="0" collapsed="false">
      <c r="A413" s="29"/>
      <c r="B413" s="30"/>
      <c r="C413" s="30"/>
      <c r="D413" s="31"/>
      <c r="E413" s="32" t="str">
        <f aca="false">IF(B413="","",IFERROR(INDEX(Kategorien!$B$5:$B$37,MATCH(B413,Kategorien!$A$5:$A$37,0)),"unbekannte Kategorie"))</f>
        <v/>
      </c>
    </row>
    <row r="414" customFormat="false" ht="15" hidden="false" customHeight="false" outlineLevel="0" collapsed="false">
      <c r="A414" s="29"/>
      <c r="B414" s="30"/>
      <c r="C414" s="30"/>
      <c r="D414" s="31"/>
      <c r="E414" s="32" t="str">
        <f aca="false">IF(B414="","",IFERROR(INDEX(Kategorien!$B$5:$B$37,MATCH(B414,Kategorien!$A$5:$A$37,0)),"unbekannte Kategorie"))</f>
        <v/>
      </c>
    </row>
    <row r="415" customFormat="false" ht="15" hidden="false" customHeight="false" outlineLevel="0" collapsed="false">
      <c r="A415" s="29"/>
      <c r="B415" s="30"/>
      <c r="C415" s="30"/>
      <c r="D415" s="31"/>
      <c r="E415" s="32" t="str">
        <f aca="false">IF(B415="","",IFERROR(INDEX(Kategorien!$B$5:$B$37,MATCH(B415,Kategorien!$A$5:$A$37,0)),"unbekannte Kategorie"))</f>
        <v/>
      </c>
    </row>
    <row r="416" customFormat="false" ht="15" hidden="false" customHeight="false" outlineLevel="0" collapsed="false">
      <c r="A416" s="29"/>
      <c r="B416" s="30"/>
      <c r="C416" s="30"/>
      <c r="D416" s="31"/>
      <c r="E416" s="32" t="str">
        <f aca="false">IF(B416="","",IFERROR(INDEX(Kategorien!$B$5:$B$37,MATCH(B416,Kategorien!$A$5:$A$37,0)),"unbekannte Kategorie"))</f>
        <v/>
      </c>
    </row>
    <row r="417" customFormat="false" ht="15" hidden="false" customHeight="false" outlineLevel="0" collapsed="false">
      <c r="A417" s="29"/>
      <c r="B417" s="30"/>
      <c r="C417" s="30"/>
      <c r="D417" s="31"/>
      <c r="E417" s="32" t="str">
        <f aca="false">IF(B417="","",IFERROR(INDEX(Kategorien!$B$5:$B$37,MATCH(B417,Kategorien!$A$5:$A$37,0)),"unbekannte Kategorie"))</f>
        <v/>
      </c>
    </row>
    <row r="418" customFormat="false" ht="15" hidden="false" customHeight="false" outlineLevel="0" collapsed="false">
      <c r="A418" s="29"/>
      <c r="B418" s="30"/>
      <c r="C418" s="30"/>
      <c r="D418" s="31"/>
      <c r="E418" s="32" t="str">
        <f aca="false">IF(B418="","",IFERROR(INDEX(Kategorien!$B$5:$B$37,MATCH(B418,Kategorien!$A$5:$A$37,0)),"unbekannte Kategorie"))</f>
        <v/>
      </c>
    </row>
    <row r="419" customFormat="false" ht="15" hidden="false" customHeight="false" outlineLevel="0" collapsed="false">
      <c r="A419" s="29"/>
      <c r="B419" s="30"/>
      <c r="C419" s="30"/>
      <c r="D419" s="31"/>
      <c r="E419" s="32" t="str">
        <f aca="false">IF(B419="","",IFERROR(INDEX(Kategorien!$B$5:$B$37,MATCH(B419,Kategorien!$A$5:$A$37,0)),"unbekannte Kategorie"))</f>
        <v/>
      </c>
    </row>
    <row r="420" customFormat="false" ht="15" hidden="false" customHeight="false" outlineLevel="0" collapsed="false">
      <c r="A420" s="29"/>
      <c r="B420" s="30"/>
      <c r="C420" s="30"/>
      <c r="D420" s="31"/>
      <c r="E420" s="32" t="str">
        <f aca="false">IF(B420="","",IFERROR(INDEX(Kategorien!$B$5:$B$37,MATCH(B420,Kategorien!$A$5:$A$37,0)),"unbekannte Kategorie"))</f>
        <v/>
      </c>
    </row>
    <row r="421" customFormat="false" ht="15" hidden="false" customHeight="false" outlineLevel="0" collapsed="false">
      <c r="A421" s="29"/>
      <c r="B421" s="30"/>
      <c r="C421" s="30"/>
      <c r="D421" s="31"/>
      <c r="E421" s="32" t="str">
        <f aca="false">IF(B421="","",IFERROR(INDEX(Kategorien!$B$5:$B$37,MATCH(B421,Kategorien!$A$5:$A$37,0)),"unbekannte Kategorie"))</f>
        <v/>
      </c>
    </row>
    <row r="422" customFormat="false" ht="15" hidden="false" customHeight="false" outlineLevel="0" collapsed="false">
      <c r="A422" s="29"/>
      <c r="B422" s="30"/>
      <c r="C422" s="30"/>
      <c r="D422" s="31"/>
      <c r="E422" s="32" t="str">
        <f aca="false">IF(B422="","",IFERROR(INDEX(Kategorien!$B$5:$B$37,MATCH(B422,Kategorien!$A$5:$A$37,0)),"unbekannte Kategorie"))</f>
        <v/>
      </c>
    </row>
    <row r="423" customFormat="false" ht="15" hidden="false" customHeight="false" outlineLevel="0" collapsed="false">
      <c r="A423" s="29"/>
      <c r="B423" s="30"/>
      <c r="C423" s="30"/>
      <c r="D423" s="31"/>
      <c r="E423" s="32" t="str">
        <f aca="false">IF(B423="","",IFERROR(INDEX(Kategorien!$B$5:$B$37,MATCH(B423,Kategorien!$A$5:$A$37,0)),"unbekannte Kategorie"))</f>
        <v/>
      </c>
    </row>
    <row r="424" customFormat="false" ht="15" hidden="false" customHeight="false" outlineLevel="0" collapsed="false">
      <c r="A424" s="29"/>
      <c r="B424" s="30"/>
      <c r="C424" s="30"/>
      <c r="D424" s="31"/>
      <c r="E424" s="32" t="str">
        <f aca="false">IF(B424="","",IFERROR(INDEX(Kategorien!$B$5:$B$37,MATCH(B424,Kategorien!$A$5:$A$37,0)),"unbekannte Kategorie"))</f>
        <v/>
      </c>
    </row>
    <row r="425" customFormat="false" ht="15" hidden="false" customHeight="false" outlineLevel="0" collapsed="false">
      <c r="A425" s="29"/>
      <c r="B425" s="30"/>
      <c r="C425" s="30"/>
      <c r="D425" s="31"/>
      <c r="E425" s="32" t="str">
        <f aca="false">IF(B425="","",IFERROR(INDEX(Kategorien!$B$5:$B$37,MATCH(B425,Kategorien!$A$5:$A$37,0)),"unbekannte Kategorie"))</f>
        <v/>
      </c>
    </row>
    <row r="426" customFormat="false" ht="15" hidden="false" customHeight="false" outlineLevel="0" collapsed="false">
      <c r="A426" s="29"/>
      <c r="B426" s="30"/>
      <c r="C426" s="30"/>
      <c r="D426" s="31"/>
      <c r="E426" s="32" t="str">
        <f aca="false">IF(B426="","",IFERROR(INDEX(Kategorien!$B$5:$B$37,MATCH(B426,Kategorien!$A$5:$A$37,0)),"unbekannte Kategorie"))</f>
        <v/>
      </c>
    </row>
    <row r="427" customFormat="false" ht="15" hidden="false" customHeight="false" outlineLevel="0" collapsed="false">
      <c r="A427" s="29"/>
      <c r="B427" s="30"/>
      <c r="C427" s="30"/>
      <c r="D427" s="31"/>
      <c r="E427" s="32" t="str">
        <f aca="false">IF(B427="","",IFERROR(INDEX(Kategorien!$B$5:$B$37,MATCH(B427,Kategorien!$A$5:$A$37,0)),"unbekannte Kategorie"))</f>
        <v/>
      </c>
    </row>
    <row r="428" customFormat="false" ht="15" hidden="false" customHeight="false" outlineLevel="0" collapsed="false">
      <c r="A428" s="29"/>
      <c r="B428" s="30"/>
      <c r="C428" s="30"/>
      <c r="D428" s="31"/>
      <c r="E428" s="32" t="str">
        <f aca="false">IF(B428="","",IFERROR(INDEX(Kategorien!$B$5:$B$37,MATCH(B428,Kategorien!$A$5:$A$37,0)),"unbekannte Kategorie"))</f>
        <v/>
      </c>
    </row>
    <row r="429" customFormat="false" ht="15" hidden="false" customHeight="false" outlineLevel="0" collapsed="false">
      <c r="A429" s="29"/>
      <c r="B429" s="30"/>
      <c r="C429" s="30"/>
      <c r="D429" s="31"/>
      <c r="E429" s="32" t="str">
        <f aca="false">IF(B429="","",IFERROR(INDEX(Kategorien!$B$5:$B$37,MATCH(B429,Kategorien!$A$5:$A$37,0)),"unbekannte Kategorie"))</f>
        <v/>
      </c>
    </row>
    <row r="430" customFormat="false" ht="15" hidden="false" customHeight="false" outlineLevel="0" collapsed="false">
      <c r="A430" s="29"/>
      <c r="B430" s="30"/>
      <c r="C430" s="30"/>
      <c r="D430" s="31"/>
      <c r="E430" s="32" t="str">
        <f aca="false">IF(B430="","",IFERROR(INDEX(Kategorien!$B$5:$B$37,MATCH(B430,Kategorien!$A$5:$A$37,0)),"unbekannte Kategorie"))</f>
        <v/>
      </c>
    </row>
    <row r="431" customFormat="false" ht="15" hidden="false" customHeight="false" outlineLevel="0" collapsed="false">
      <c r="A431" s="29"/>
      <c r="B431" s="30"/>
      <c r="C431" s="30"/>
      <c r="D431" s="31"/>
      <c r="E431" s="32" t="str">
        <f aca="false">IF(B431="","",IFERROR(INDEX(Kategorien!$B$5:$B$37,MATCH(B431,Kategorien!$A$5:$A$37,0)),"unbekannte Kategorie"))</f>
        <v/>
      </c>
    </row>
    <row r="432" customFormat="false" ht="15" hidden="false" customHeight="false" outlineLevel="0" collapsed="false">
      <c r="A432" s="29"/>
      <c r="B432" s="30"/>
      <c r="C432" s="30"/>
      <c r="D432" s="31"/>
      <c r="E432" s="32" t="str">
        <f aca="false">IF(B432="","",IFERROR(INDEX(Kategorien!$B$5:$B$37,MATCH(B432,Kategorien!$A$5:$A$37,0)),"unbekannte Kategorie"))</f>
        <v/>
      </c>
    </row>
    <row r="433" customFormat="false" ht="15" hidden="false" customHeight="false" outlineLevel="0" collapsed="false">
      <c r="A433" s="29"/>
      <c r="B433" s="30"/>
      <c r="C433" s="30"/>
      <c r="D433" s="31"/>
      <c r="E433" s="32" t="str">
        <f aca="false">IF(B433="","",IFERROR(INDEX(Kategorien!$B$5:$B$37,MATCH(B433,Kategorien!$A$5:$A$37,0)),"unbekannte Kategorie"))</f>
        <v/>
      </c>
    </row>
    <row r="434" customFormat="false" ht="15" hidden="false" customHeight="false" outlineLevel="0" collapsed="false">
      <c r="A434" s="29"/>
      <c r="B434" s="30"/>
      <c r="C434" s="30"/>
      <c r="D434" s="31"/>
      <c r="E434" s="32" t="str">
        <f aca="false">IF(B434="","",IFERROR(INDEX(Kategorien!$B$5:$B$37,MATCH(B434,Kategorien!$A$5:$A$37,0)),"unbekannte Kategorie"))</f>
        <v/>
      </c>
    </row>
    <row r="435" customFormat="false" ht="15" hidden="false" customHeight="false" outlineLevel="0" collapsed="false">
      <c r="A435" s="29"/>
      <c r="B435" s="30"/>
      <c r="C435" s="30"/>
      <c r="D435" s="31"/>
      <c r="E435" s="32" t="str">
        <f aca="false">IF(B435="","",IFERROR(INDEX(Kategorien!$B$5:$B$37,MATCH(B435,Kategorien!$A$5:$A$37,0)),"unbekannte Kategorie"))</f>
        <v/>
      </c>
    </row>
    <row r="436" customFormat="false" ht="15" hidden="false" customHeight="false" outlineLevel="0" collapsed="false">
      <c r="A436" s="29"/>
      <c r="B436" s="30"/>
      <c r="C436" s="30"/>
      <c r="D436" s="31"/>
      <c r="E436" s="32" t="str">
        <f aca="false">IF(B436="","",IFERROR(INDEX(Kategorien!$B$5:$B$37,MATCH(B436,Kategorien!$A$5:$A$37,0)),"unbekannte Kategorie"))</f>
        <v/>
      </c>
    </row>
    <row r="437" customFormat="false" ht="15" hidden="false" customHeight="false" outlineLevel="0" collapsed="false">
      <c r="A437" s="29"/>
      <c r="B437" s="30"/>
      <c r="C437" s="30"/>
      <c r="D437" s="31"/>
      <c r="E437" s="32" t="str">
        <f aca="false">IF(B437="","",IFERROR(INDEX(Kategorien!$B$5:$B$37,MATCH(B437,Kategorien!$A$5:$A$37,0)),"unbekannte Kategorie"))</f>
        <v/>
      </c>
    </row>
    <row r="438" customFormat="false" ht="15" hidden="false" customHeight="false" outlineLevel="0" collapsed="false">
      <c r="A438" s="29"/>
      <c r="B438" s="30"/>
      <c r="C438" s="30"/>
      <c r="D438" s="31"/>
      <c r="E438" s="32" t="str">
        <f aca="false">IF(B438="","",IFERROR(INDEX(Kategorien!$B$5:$B$37,MATCH(B438,Kategorien!$A$5:$A$37,0)),"unbekannte Kategorie"))</f>
        <v/>
      </c>
    </row>
    <row r="439" customFormat="false" ht="15" hidden="false" customHeight="false" outlineLevel="0" collapsed="false">
      <c r="A439" s="29"/>
      <c r="B439" s="30"/>
      <c r="C439" s="30"/>
      <c r="D439" s="31"/>
      <c r="E439" s="32" t="str">
        <f aca="false">IF(B439="","",IFERROR(INDEX(Kategorien!$B$5:$B$37,MATCH(B439,Kategorien!$A$5:$A$37,0)),"unbekannte Kategorie"))</f>
        <v/>
      </c>
    </row>
    <row r="440" customFormat="false" ht="15" hidden="false" customHeight="false" outlineLevel="0" collapsed="false">
      <c r="A440" s="29"/>
      <c r="B440" s="30"/>
      <c r="C440" s="30"/>
      <c r="D440" s="31"/>
      <c r="E440" s="32" t="str">
        <f aca="false">IF(B440="","",IFERROR(INDEX(Kategorien!$B$5:$B$37,MATCH(B440,Kategorien!$A$5:$A$37,0)),"unbekannte Kategorie"))</f>
        <v/>
      </c>
    </row>
    <row r="441" customFormat="false" ht="15" hidden="false" customHeight="false" outlineLevel="0" collapsed="false">
      <c r="A441" s="29"/>
      <c r="B441" s="30"/>
      <c r="C441" s="30"/>
      <c r="D441" s="31"/>
      <c r="E441" s="32" t="str">
        <f aca="false">IF(B441="","",IFERROR(INDEX(Kategorien!$B$5:$B$37,MATCH(B441,Kategorien!$A$5:$A$37,0)),"unbekannte Kategorie"))</f>
        <v/>
      </c>
    </row>
    <row r="442" customFormat="false" ht="15" hidden="false" customHeight="false" outlineLevel="0" collapsed="false">
      <c r="A442" s="29"/>
      <c r="B442" s="30"/>
      <c r="C442" s="30"/>
      <c r="D442" s="31"/>
      <c r="E442" s="32" t="str">
        <f aca="false">IF(B442="","",IFERROR(INDEX(Kategorien!$B$5:$B$37,MATCH(B442,Kategorien!$A$5:$A$37,0)),"unbekannte Kategorie"))</f>
        <v/>
      </c>
    </row>
    <row r="443" customFormat="false" ht="15" hidden="false" customHeight="false" outlineLevel="0" collapsed="false">
      <c r="A443" s="29"/>
      <c r="B443" s="30"/>
      <c r="C443" s="30"/>
      <c r="D443" s="31"/>
      <c r="E443" s="32" t="str">
        <f aca="false">IF(B443="","",IFERROR(INDEX(Kategorien!$B$5:$B$37,MATCH(B443,Kategorien!$A$5:$A$37,0)),"unbekannte Kategorie"))</f>
        <v/>
      </c>
    </row>
    <row r="444" customFormat="false" ht="15" hidden="false" customHeight="false" outlineLevel="0" collapsed="false">
      <c r="A444" s="29"/>
      <c r="B444" s="30"/>
      <c r="C444" s="30"/>
      <c r="D444" s="31"/>
      <c r="E444" s="32" t="str">
        <f aca="false">IF(B444="","",IFERROR(INDEX(Kategorien!$B$5:$B$37,MATCH(B444,Kategorien!$A$5:$A$37,0)),"unbekannte Kategorie"))</f>
        <v/>
      </c>
    </row>
    <row r="445" customFormat="false" ht="15" hidden="false" customHeight="false" outlineLevel="0" collapsed="false">
      <c r="A445" s="29"/>
      <c r="B445" s="30"/>
      <c r="C445" s="30"/>
      <c r="D445" s="31"/>
      <c r="E445" s="32" t="str">
        <f aca="false">IF(B445="","",IFERROR(INDEX(Kategorien!$B$5:$B$37,MATCH(B445,Kategorien!$A$5:$A$37,0)),"unbekannte Kategorie"))</f>
        <v/>
      </c>
    </row>
    <row r="446" customFormat="false" ht="15" hidden="false" customHeight="false" outlineLevel="0" collapsed="false">
      <c r="A446" s="29"/>
      <c r="B446" s="30"/>
      <c r="C446" s="30"/>
      <c r="D446" s="31"/>
      <c r="E446" s="32" t="str">
        <f aca="false">IF(B446="","",IFERROR(INDEX(Kategorien!$B$5:$B$37,MATCH(B446,Kategorien!$A$5:$A$37,0)),"unbekannte Kategorie"))</f>
        <v/>
      </c>
    </row>
    <row r="447" customFormat="false" ht="15" hidden="false" customHeight="false" outlineLevel="0" collapsed="false">
      <c r="A447" s="29"/>
      <c r="B447" s="30"/>
      <c r="C447" s="30"/>
      <c r="D447" s="31"/>
      <c r="E447" s="32" t="str">
        <f aca="false">IF(B447="","",IFERROR(INDEX(Kategorien!$B$5:$B$37,MATCH(B447,Kategorien!$A$5:$A$37,0)),"unbekannte Kategorie"))</f>
        <v/>
      </c>
    </row>
    <row r="448" customFormat="false" ht="15" hidden="false" customHeight="false" outlineLevel="0" collapsed="false">
      <c r="A448" s="29"/>
      <c r="B448" s="30"/>
      <c r="C448" s="30"/>
      <c r="D448" s="31"/>
      <c r="E448" s="32" t="str">
        <f aca="false">IF(B448="","",IFERROR(INDEX(Kategorien!$B$5:$B$37,MATCH(B448,Kategorien!$A$5:$A$37,0)),"unbekannte Kategorie"))</f>
        <v/>
      </c>
    </row>
    <row r="449" customFormat="false" ht="15" hidden="false" customHeight="false" outlineLevel="0" collapsed="false">
      <c r="A449" s="29"/>
      <c r="B449" s="30"/>
      <c r="C449" s="30"/>
      <c r="D449" s="31"/>
      <c r="E449" s="32" t="str">
        <f aca="false">IF(B449="","",IFERROR(INDEX(Kategorien!$B$5:$B$37,MATCH(B449,Kategorien!$A$5:$A$37,0)),"unbekannte Kategorie"))</f>
        <v/>
      </c>
    </row>
    <row r="450" customFormat="false" ht="15" hidden="false" customHeight="false" outlineLevel="0" collapsed="false">
      <c r="A450" s="29"/>
      <c r="B450" s="30"/>
      <c r="C450" s="30"/>
      <c r="D450" s="31"/>
      <c r="E450" s="32" t="str">
        <f aca="false">IF(B450="","",IFERROR(INDEX(Kategorien!$B$5:$B$37,MATCH(B450,Kategorien!$A$5:$A$37,0)),"unbekannte Kategorie"))</f>
        <v/>
      </c>
    </row>
    <row r="451" customFormat="false" ht="15" hidden="false" customHeight="false" outlineLevel="0" collapsed="false">
      <c r="A451" s="29"/>
      <c r="B451" s="30"/>
      <c r="C451" s="30"/>
      <c r="D451" s="31"/>
      <c r="E451" s="32" t="str">
        <f aca="false">IF(B451="","",IFERROR(INDEX(Kategorien!$B$5:$B$37,MATCH(B451,Kategorien!$A$5:$A$37,0)),"unbekannte Kategorie"))</f>
        <v/>
      </c>
    </row>
    <row r="452" customFormat="false" ht="15" hidden="false" customHeight="false" outlineLevel="0" collapsed="false">
      <c r="A452" s="29"/>
      <c r="B452" s="30"/>
      <c r="C452" s="30"/>
      <c r="D452" s="31"/>
      <c r="E452" s="32" t="str">
        <f aca="false">IF(B452="","",IFERROR(INDEX(Kategorien!$B$5:$B$37,MATCH(B452,Kategorien!$A$5:$A$37,0)),"unbekannte Kategorie"))</f>
        <v/>
      </c>
    </row>
    <row r="453" customFormat="false" ht="15" hidden="false" customHeight="false" outlineLevel="0" collapsed="false">
      <c r="A453" s="29"/>
      <c r="B453" s="30"/>
      <c r="C453" s="30"/>
      <c r="D453" s="31"/>
      <c r="E453" s="32" t="str">
        <f aca="false">IF(B453="","",IFERROR(INDEX(Kategorien!$B$5:$B$37,MATCH(B453,Kategorien!$A$5:$A$37,0)),"unbekannte Kategorie"))</f>
        <v/>
      </c>
    </row>
    <row r="454" customFormat="false" ht="15" hidden="false" customHeight="false" outlineLevel="0" collapsed="false">
      <c r="A454" s="29"/>
      <c r="B454" s="30"/>
      <c r="C454" s="30"/>
      <c r="D454" s="31"/>
      <c r="E454" s="32" t="str">
        <f aca="false">IF(B454="","",IFERROR(INDEX(Kategorien!$B$5:$B$37,MATCH(B454,Kategorien!$A$5:$A$37,0)),"unbekannte Kategorie"))</f>
        <v/>
      </c>
    </row>
    <row r="455" customFormat="false" ht="15" hidden="false" customHeight="false" outlineLevel="0" collapsed="false">
      <c r="A455" s="29"/>
      <c r="B455" s="30"/>
      <c r="C455" s="30"/>
      <c r="D455" s="31"/>
      <c r="E455" s="32" t="str">
        <f aca="false">IF(B455="","",IFERROR(INDEX(Kategorien!$B$5:$B$37,MATCH(B455,Kategorien!$A$5:$A$37,0)),"unbekannte Kategorie"))</f>
        <v/>
      </c>
    </row>
    <row r="456" customFormat="false" ht="15" hidden="false" customHeight="false" outlineLevel="0" collapsed="false">
      <c r="A456" s="29"/>
      <c r="B456" s="30"/>
      <c r="C456" s="30"/>
      <c r="D456" s="31"/>
      <c r="E456" s="32" t="str">
        <f aca="false">IF(B456="","",IFERROR(INDEX(Kategorien!$B$5:$B$37,MATCH(B456,Kategorien!$A$5:$A$37,0)),"unbekannte Kategorie"))</f>
        <v/>
      </c>
    </row>
    <row r="457" customFormat="false" ht="15" hidden="false" customHeight="false" outlineLevel="0" collapsed="false">
      <c r="A457" s="29"/>
      <c r="B457" s="30"/>
      <c r="C457" s="30"/>
      <c r="D457" s="31"/>
      <c r="E457" s="32" t="str">
        <f aca="false">IF(B457="","",IFERROR(INDEX(Kategorien!$B$5:$B$37,MATCH(B457,Kategorien!$A$5:$A$37,0)),"unbekannte Kategorie"))</f>
        <v/>
      </c>
    </row>
    <row r="458" customFormat="false" ht="15" hidden="false" customHeight="false" outlineLevel="0" collapsed="false">
      <c r="A458" s="29"/>
      <c r="B458" s="30"/>
      <c r="C458" s="30"/>
      <c r="D458" s="31"/>
      <c r="E458" s="32" t="str">
        <f aca="false">IF(B458="","",IFERROR(INDEX(Kategorien!$B$5:$B$37,MATCH(B458,Kategorien!$A$5:$A$37,0)),"unbekannte Kategorie"))</f>
        <v/>
      </c>
    </row>
    <row r="459" customFormat="false" ht="15" hidden="false" customHeight="false" outlineLevel="0" collapsed="false">
      <c r="A459" s="29"/>
      <c r="B459" s="30"/>
      <c r="C459" s="30"/>
      <c r="D459" s="31"/>
      <c r="E459" s="32" t="str">
        <f aca="false">IF(B459="","",IFERROR(INDEX(Kategorien!$B$5:$B$37,MATCH(B459,Kategorien!$A$5:$A$37,0)),"unbekannte Kategorie"))</f>
        <v/>
      </c>
    </row>
    <row r="460" customFormat="false" ht="15" hidden="false" customHeight="false" outlineLevel="0" collapsed="false">
      <c r="A460" s="29"/>
      <c r="B460" s="30"/>
      <c r="C460" s="30"/>
      <c r="D460" s="31"/>
      <c r="E460" s="32" t="str">
        <f aca="false">IF(B460="","",IFERROR(INDEX(Kategorien!$B$5:$B$37,MATCH(B460,Kategorien!$A$5:$A$37,0)),"unbekannte Kategorie"))</f>
        <v/>
      </c>
    </row>
    <row r="461" customFormat="false" ht="15" hidden="false" customHeight="false" outlineLevel="0" collapsed="false">
      <c r="A461" s="29"/>
      <c r="B461" s="30"/>
      <c r="C461" s="30"/>
      <c r="D461" s="31"/>
      <c r="E461" s="32" t="str">
        <f aca="false">IF(B461="","",IFERROR(INDEX(Kategorien!$B$5:$B$37,MATCH(B461,Kategorien!$A$5:$A$37,0)),"unbekannte Kategorie"))</f>
        <v/>
      </c>
    </row>
    <row r="462" customFormat="false" ht="15" hidden="false" customHeight="false" outlineLevel="0" collapsed="false">
      <c r="A462" s="29"/>
      <c r="B462" s="30"/>
      <c r="C462" s="30"/>
      <c r="D462" s="31"/>
      <c r="E462" s="32" t="str">
        <f aca="false">IF(B462="","",IFERROR(INDEX(Kategorien!$B$5:$B$37,MATCH(B462,Kategorien!$A$5:$A$37,0)),"unbekannte Kategorie"))</f>
        <v/>
      </c>
    </row>
    <row r="463" customFormat="false" ht="15" hidden="false" customHeight="false" outlineLevel="0" collapsed="false">
      <c r="A463" s="29"/>
      <c r="B463" s="30"/>
      <c r="C463" s="30"/>
      <c r="D463" s="31"/>
      <c r="E463" s="32" t="str">
        <f aca="false">IF(B463="","",IFERROR(INDEX(Kategorien!$B$5:$B$37,MATCH(B463,Kategorien!$A$5:$A$37,0)),"unbekannte Kategorie"))</f>
        <v/>
      </c>
    </row>
    <row r="464" customFormat="false" ht="15" hidden="false" customHeight="false" outlineLevel="0" collapsed="false">
      <c r="A464" s="29"/>
      <c r="B464" s="30"/>
      <c r="C464" s="30"/>
      <c r="D464" s="31"/>
      <c r="E464" s="32" t="str">
        <f aca="false">IF(B464="","",IFERROR(INDEX(Kategorien!$B$5:$B$37,MATCH(B464,Kategorien!$A$5:$A$37,0)),"unbekannte Kategorie"))</f>
        <v/>
      </c>
    </row>
    <row r="465" customFormat="false" ht="15" hidden="false" customHeight="false" outlineLevel="0" collapsed="false">
      <c r="A465" s="29"/>
      <c r="B465" s="30"/>
      <c r="C465" s="30"/>
      <c r="D465" s="31"/>
      <c r="E465" s="32" t="str">
        <f aca="false">IF(B465="","",IFERROR(INDEX(Kategorien!$B$5:$B$37,MATCH(B465,Kategorien!$A$5:$A$37,0)),"unbekannte Kategorie"))</f>
        <v/>
      </c>
    </row>
    <row r="466" customFormat="false" ht="15" hidden="false" customHeight="false" outlineLevel="0" collapsed="false">
      <c r="A466" s="29"/>
      <c r="B466" s="30"/>
      <c r="C466" s="30"/>
      <c r="D466" s="31"/>
      <c r="E466" s="32" t="str">
        <f aca="false">IF(B466="","",IFERROR(INDEX(Kategorien!$B$5:$B$37,MATCH(B466,Kategorien!$A$5:$A$37,0)),"unbekannte Kategorie"))</f>
        <v/>
      </c>
    </row>
    <row r="467" customFormat="false" ht="15" hidden="false" customHeight="false" outlineLevel="0" collapsed="false">
      <c r="A467" s="29"/>
      <c r="B467" s="30"/>
      <c r="C467" s="30"/>
      <c r="D467" s="31"/>
      <c r="E467" s="32" t="str">
        <f aca="false">IF(B467="","",IFERROR(INDEX(Kategorien!$B$5:$B$37,MATCH(B467,Kategorien!$A$5:$A$37,0)),"unbekannte Kategorie"))</f>
        <v/>
      </c>
    </row>
    <row r="468" customFormat="false" ht="15" hidden="false" customHeight="false" outlineLevel="0" collapsed="false">
      <c r="A468" s="29"/>
      <c r="B468" s="30"/>
      <c r="C468" s="30"/>
      <c r="D468" s="31"/>
      <c r="E468" s="32" t="str">
        <f aca="false">IF(B468="","",IFERROR(INDEX(Kategorien!$B$5:$B$37,MATCH(B468,Kategorien!$A$5:$A$37,0)),"unbekannte Kategorie"))</f>
        <v/>
      </c>
    </row>
    <row r="469" customFormat="false" ht="15" hidden="false" customHeight="false" outlineLevel="0" collapsed="false">
      <c r="A469" s="29"/>
      <c r="B469" s="30"/>
      <c r="C469" s="30"/>
      <c r="D469" s="31"/>
      <c r="E469" s="32" t="str">
        <f aca="false">IF(B469="","",IFERROR(INDEX(Kategorien!$B$5:$B$37,MATCH(B469,Kategorien!$A$5:$A$37,0)),"unbekannte Kategorie"))</f>
        <v/>
      </c>
    </row>
    <row r="470" customFormat="false" ht="15" hidden="false" customHeight="false" outlineLevel="0" collapsed="false">
      <c r="A470" s="29"/>
      <c r="B470" s="30"/>
      <c r="C470" s="30"/>
      <c r="D470" s="31"/>
      <c r="E470" s="32" t="str">
        <f aca="false">IF(B470="","",IFERROR(INDEX(Kategorien!$B$5:$B$37,MATCH(B470,Kategorien!$A$5:$A$37,0)),"unbekannte Kategorie"))</f>
        <v/>
      </c>
    </row>
    <row r="471" customFormat="false" ht="15" hidden="false" customHeight="false" outlineLevel="0" collapsed="false">
      <c r="A471" s="29"/>
      <c r="B471" s="30"/>
      <c r="C471" s="30"/>
      <c r="D471" s="31"/>
      <c r="E471" s="32" t="str">
        <f aca="false">IF(B471="","",IFERROR(INDEX(Kategorien!$B$5:$B$37,MATCH(B471,Kategorien!$A$5:$A$37,0)),"unbekannte Kategorie"))</f>
        <v/>
      </c>
    </row>
    <row r="472" customFormat="false" ht="15" hidden="false" customHeight="false" outlineLevel="0" collapsed="false">
      <c r="A472" s="29"/>
      <c r="B472" s="30"/>
      <c r="C472" s="30"/>
      <c r="D472" s="31"/>
      <c r="E472" s="32" t="str">
        <f aca="false">IF(B472="","",IFERROR(INDEX(Kategorien!$B$5:$B$37,MATCH(B472,Kategorien!$A$5:$A$37,0)),"unbekannte Kategorie"))</f>
        <v/>
      </c>
    </row>
    <row r="473" customFormat="false" ht="15" hidden="false" customHeight="false" outlineLevel="0" collapsed="false">
      <c r="A473" s="29"/>
      <c r="B473" s="30"/>
      <c r="C473" s="30"/>
      <c r="D473" s="31"/>
      <c r="E473" s="32" t="str">
        <f aca="false">IF(B473="","",IFERROR(INDEX(Kategorien!$B$5:$B$37,MATCH(B473,Kategorien!$A$5:$A$37,0)),"unbekannte Kategorie"))</f>
        <v/>
      </c>
    </row>
    <row r="474" customFormat="false" ht="15" hidden="false" customHeight="false" outlineLevel="0" collapsed="false">
      <c r="A474" s="29"/>
      <c r="B474" s="30"/>
      <c r="C474" s="30"/>
      <c r="D474" s="31"/>
      <c r="E474" s="32" t="str">
        <f aca="false">IF(B474="","",IFERROR(INDEX(Kategorien!$B$5:$B$37,MATCH(B474,Kategorien!$A$5:$A$37,0)),"unbekannte Kategorie"))</f>
        <v/>
      </c>
    </row>
    <row r="475" customFormat="false" ht="15" hidden="false" customHeight="false" outlineLevel="0" collapsed="false">
      <c r="A475" s="29"/>
      <c r="B475" s="30"/>
      <c r="C475" s="30"/>
      <c r="D475" s="31"/>
      <c r="E475" s="32" t="str">
        <f aca="false">IF(B475="","",IFERROR(INDEX(Kategorien!$B$5:$B$37,MATCH(B475,Kategorien!$A$5:$A$37,0)),"unbekannte Kategorie"))</f>
        <v/>
      </c>
    </row>
    <row r="476" customFormat="false" ht="15" hidden="false" customHeight="false" outlineLevel="0" collapsed="false">
      <c r="A476" s="29"/>
      <c r="B476" s="30"/>
      <c r="C476" s="30"/>
      <c r="D476" s="31"/>
      <c r="E476" s="32" t="str">
        <f aca="false">IF(B476="","",IFERROR(INDEX(Kategorien!$B$5:$B$37,MATCH(B476,Kategorien!$A$5:$A$37,0)),"unbekannte Kategorie"))</f>
        <v/>
      </c>
    </row>
    <row r="477" customFormat="false" ht="15" hidden="false" customHeight="false" outlineLevel="0" collapsed="false">
      <c r="A477" s="29"/>
      <c r="B477" s="30"/>
      <c r="C477" s="30"/>
      <c r="D477" s="31"/>
      <c r="E477" s="32" t="str">
        <f aca="false">IF(B477="","",IFERROR(INDEX(Kategorien!$B$5:$B$37,MATCH(B477,Kategorien!$A$5:$A$37,0)),"unbekannte Kategorie"))</f>
        <v/>
      </c>
    </row>
    <row r="478" customFormat="false" ht="15" hidden="false" customHeight="false" outlineLevel="0" collapsed="false">
      <c r="A478" s="29"/>
      <c r="B478" s="30"/>
      <c r="C478" s="30"/>
      <c r="D478" s="31"/>
      <c r="E478" s="32" t="str">
        <f aca="false">IF(B478="","",IFERROR(INDEX(Kategorien!$B$5:$B$37,MATCH(B478,Kategorien!$A$5:$A$37,0)),"unbekannte Kategorie"))</f>
        <v/>
      </c>
    </row>
    <row r="479" customFormat="false" ht="15" hidden="false" customHeight="false" outlineLevel="0" collapsed="false">
      <c r="A479" s="29"/>
      <c r="B479" s="30"/>
      <c r="C479" s="30"/>
      <c r="D479" s="31"/>
      <c r="E479" s="32" t="str">
        <f aca="false">IF(B479="","",IFERROR(INDEX(Kategorien!$B$5:$B$37,MATCH(B479,Kategorien!$A$5:$A$37,0)),"unbekannte Kategorie"))</f>
        <v/>
      </c>
    </row>
    <row r="480" customFormat="false" ht="15" hidden="false" customHeight="false" outlineLevel="0" collapsed="false">
      <c r="A480" s="29"/>
      <c r="B480" s="30"/>
      <c r="C480" s="30"/>
      <c r="D480" s="31"/>
      <c r="E480" s="32" t="str">
        <f aca="false">IF(B480="","",IFERROR(INDEX(Kategorien!$B$5:$B$37,MATCH(B480,Kategorien!$A$5:$A$37,0)),"unbekannte Kategorie"))</f>
        <v/>
      </c>
    </row>
    <row r="481" customFormat="false" ht="15" hidden="false" customHeight="false" outlineLevel="0" collapsed="false">
      <c r="A481" s="29"/>
      <c r="B481" s="30"/>
      <c r="C481" s="30"/>
      <c r="D481" s="31"/>
      <c r="E481" s="32" t="str">
        <f aca="false">IF(B481="","",IFERROR(INDEX(Kategorien!$B$5:$B$37,MATCH(B481,Kategorien!$A$5:$A$37,0)),"unbekannte Kategorie"))</f>
        <v/>
      </c>
    </row>
    <row r="482" customFormat="false" ht="15" hidden="false" customHeight="false" outlineLevel="0" collapsed="false">
      <c r="A482" s="29"/>
      <c r="B482" s="30"/>
      <c r="C482" s="30"/>
      <c r="D482" s="31"/>
      <c r="E482" s="32" t="str">
        <f aca="false">IF(B482="","",IFERROR(INDEX(Kategorien!$B$5:$B$37,MATCH(B482,Kategorien!$A$5:$A$37,0)),"unbekannte Kategorie"))</f>
        <v/>
      </c>
    </row>
    <row r="483" customFormat="false" ht="15" hidden="false" customHeight="false" outlineLevel="0" collapsed="false">
      <c r="A483" s="29"/>
      <c r="B483" s="30"/>
      <c r="C483" s="30"/>
      <c r="D483" s="31"/>
      <c r="E483" s="32" t="str">
        <f aca="false">IF(B483="","",IFERROR(INDEX(Kategorien!$B$5:$B$37,MATCH(B483,Kategorien!$A$5:$A$37,0)),"unbekannte Kategorie"))</f>
        <v/>
      </c>
    </row>
    <row r="484" customFormat="false" ht="15" hidden="false" customHeight="false" outlineLevel="0" collapsed="false">
      <c r="A484" s="29"/>
      <c r="B484" s="30"/>
      <c r="C484" s="30"/>
      <c r="D484" s="31"/>
      <c r="E484" s="32" t="str">
        <f aca="false">IF(B484="","",IFERROR(INDEX(Kategorien!$B$5:$B$37,MATCH(B484,Kategorien!$A$5:$A$37,0)),"unbekannte Kategorie"))</f>
        <v/>
      </c>
    </row>
    <row r="485" customFormat="false" ht="15" hidden="false" customHeight="false" outlineLevel="0" collapsed="false">
      <c r="A485" s="29"/>
      <c r="B485" s="30"/>
      <c r="C485" s="30"/>
      <c r="D485" s="31"/>
      <c r="E485" s="32" t="str">
        <f aca="false">IF(B485="","",IFERROR(INDEX(Kategorien!$B$5:$B$37,MATCH(B485,Kategorien!$A$5:$A$37,0)),"unbekannte Kategorie"))</f>
        <v/>
      </c>
    </row>
    <row r="486" customFormat="false" ht="15" hidden="false" customHeight="false" outlineLevel="0" collapsed="false">
      <c r="A486" s="29"/>
      <c r="B486" s="30"/>
      <c r="C486" s="30"/>
      <c r="D486" s="31"/>
      <c r="E486" s="32" t="str">
        <f aca="false">IF(B486="","",IFERROR(INDEX(Kategorien!$B$5:$B$37,MATCH(B486,Kategorien!$A$5:$A$37,0)),"unbekannte Kategorie"))</f>
        <v/>
      </c>
    </row>
    <row r="487" customFormat="false" ht="15" hidden="false" customHeight="false" outlineLevel="0" collapsed="false">
      <c r="A487" s="29"/>
      <c r="B487" s="30"/>
      <c r="C487" s="30"/>
      <c r="D487" s="31"/>
      <c r="E487" s="32" t="str">
        <f aca="false">IF(B487="","",IFERROR(INDEX(Kategorien!$B$5:$B$37,MATCH(B487,Kategorien!$A$5:$A$37,0)),"unbekannte Kategorie"))</f>
        <v/>
      </c>
    </row>
    <row r="488" customFormat="false" ht="15" hidden="false" customHeight="false" outlineLevel="0" collapsed="false">
      <c r="A488" s="29"/>
      <c r="B488" s="30"/>
      <c r="C488" s="30"/>
      <c r="D488" s="31"/>
      <c r="E488" s="32" t="str">
        <f aca="false">IF(B488="","",IFERROR(INDEX(Kategorien!$B$5:$B$37,MATCH(B488,Kategorien!$A$5:$A$37,0)),"unbekannte Kategorie"))</f>
        <v/>
      </c>
    </row>
    <row r="489" customFormat="false" ht="15" hidden="false" customHeight="false" outlineLevel="0" collapsed="false">
      <c r="A489" s="29"/>
      <c r="B489" s="30"/>
      <c r="C489" s="30"/>
      <c r="D489" s="31"/>
      <c r="E489" s="32" t="str">
        <f aca="false">IF(B489="","",IFERROR(INDEX(Kategorien!$B$5:$B$37,MATCH(B489,Kategorien!$A$5:$A$37,0)),"unbekannte Kategorie"))</f>
        <v/>
      </c>
    </row>
    <row r="490" customFormat="false" ht="15" hidden="false" customHeight="false" outlineLevel="0" collapsed="false">
      <c r="A490" s="29"/>
      <c r="B490" s="30"/>
      <c r="C490" s="30"/>
      <c r="D490" s="31"/>
      <c r="E490" s="32" t="str">
        <f aca="false">IF(B490="","",IFERROR(INDEX(Kategorien!$B$5:$B$37,MATCH(B490,Kategorien!$A$5:$A$37,0)),"unbekannte Kategorie"))</f>
        <v/>
      </c>
    </row>
    <row r="491" customFormat="false" ht="15" hidden="false" customHeight="false" outlineLevel="0" collapsed="false">
      <c r="A491" s="29"/>
      <c r="B491" s="30"/>
      <c r="C491" s="30"/>
      <c r="D491" s="31"/>
      <c r="E491" s="32" t="str">
        <f aca="false">IF(B491="","",IFERROR(INDEX(Kategorien!$B$5:$B$37,MATCH(B491,Kategorien!$A$5:$A$37,0)),"unbekannte Kategorie"))</f>
        <v/>
      </c>
    </row>
    <row r="492" customFormat="false" ht="15" hidden="false" customHeight="false" outlineLevel="0" collapsed="false">
      <c r="A492" s="29"/>
      <c r="B492" s="30"/>
      <c r="C492" s="30"/>
      <c r="D492" s="31"/>
      <c r="E492" s="32" t="str">
        <f aca="false">IF(B492="","",IFERROR(INDEX(Kategorien!$B$5:$B$37,MATCH(B492,Kategorien!$A$5:$A$37,0)),"unbekannte Kategorie"))</f>
        <v/>
      </c>
    </row>
    <row r="493" customFormat="false" ht="15" hidden="false" customHeight="false" outlineLevel="0" collapsed="false">
      <c r="A493" s="29"/>
      <c r="B493" s="30"/>
      <c r="C493" s="30"/>
      <c r="D493" s="31"/>
      <c r="E493" s="32" t="str">
        <f aca="false">IF(B493="","",IFERROR(INDEX(Kategorien!$B$5:$B$37,MATCH(B493,Kategorien!$A$5:$A$37,0)),"unbekannte Kategorie"))</f>
        <v/>
      </c>
    </row>
    <row r="494" customFormat="false" ht="15" hidden="false" customHeight="false" outlineLevel="0" collapsed="false">
      <c r="A494" s="29"/>
      <c r="B494" s="30"/>
      <c r="C494" s="30"/>
      <c r="D494" s="31"/>
      <c r="E494" s="32" t="str">
        <f aca="false">IF(B494="","",IFERROR(INDEX(Kategorien!$B$5:$B$37,MATCH(B494,Kategorien!$A$5:$A$37,0)),"unbekannte Kategorie"))</f>
        <v/>
      </c>
    </row>
    <row r="495" customFormat="false" ht="15" hidden="false" customHeight="false" outlineLevel="0" collapsed="false">
      <c r="A495" s="29"/>
      <c r="B495" s="30"/>
      <c r="C495" s="30"/>
      <c r="D495" s="31"/>
      <c r="E495" s="32" t="str">
        <f aca="false">IF(B495="","",IFERROR(INDEX(Kategorien!$B$5:$B$37,MATCH(B495,Kategorien!$A$5:$A$37,0)),"unbekannte Kategorie"))</f>
        <v/>
      </c>
    </row>
    <row r="496" customFormat="false" ht="15" hidden="false" customHeight="false" outlineLevel="0" collapsed="false">
      <c r="A496" s="29"/>
      <c r="B496" s="30"/>
      <c r="C496" s="30"/>
      <c r="D496" s="31"/>
      <c r="E496" s="32" t="str">
        <f aca="false">IF(B496="","",IFERROR(INDEX(Kategorien!$B$5:$B$37,MATCH(B496,Kategorien!$A$5:$A$37,0)),"unbekannte Kategorie"))</f>
        <v/>
      </c>
    </row>
    <row r="497" customFormat="false" ht="15" hidden="false" customHeight="false" outlineLevel="0" collapsed="false">
      <c r="A497" s="29"/>
      <c r="B497" s="30"/>
      <c r="C497" s="30"/>
      <c r="D497" s="31"/>
      <c r="E497" s="32" t="str">
        <f aca="false">IF(B497="","",IFERROR(INDEX(Kategorien!$B$5:$B$37,MATCH(B497,Kategorien!$A$5:$A$37,0)),"unbekannte Kategorie"))</f>
        <v/>
      </c>
    </row>
    <row r="498" customFormat="false" ht="15" hidden="false" customHeight="false" outlineLevel="0" collapsed="false">
      <c r="A498" s="29"/>
      <c r="B498" s="30"/>
      <c r="C498" s="30"/>
      <c r="D498" s="31"/>
      <c r="E498" s="32" t="str">
        <f aca="false">IF(B498="","",IFERROR(INDEX(Kategorien!$B$5:$B$37,MATCH(B498,Kategorien!$A$5:$A$37,0)),"unbekannte Kategorie"))</f>
        <v/>
      </c>
    </row>
    <row r="499" customFormat="false" ht="15" hidden="false" customHeight="false" outlineLevel="0" collapsed="false">
      <c r="A499" s="29"/>
      <c r="B499" s="30"/>
      <c r="C499" s="30"/>
      <c r="D499" s="31"/>
      <c r="E499" s="32" t="str">
        <f aca="false">IF(B499="","",IFERROR(INDEX(Kategorien!$B$5:$B$37,MATCH(B499,Kategorien!$A$5:$A$37,0)),"unbekannte Kategorie"))</f>
        <v/>
      </c>
    </row>
    <row r="500" customFormat="false" ht="15" hidden="false" customHeight="false" outlineLevel="0" collapsed="false">
      <c r="A500" s="29"/>
      <c r="B500" s="30"/>
      <c r="C500" s="30"/>
      <c r="D500" s="31"/>
      <c r="E500" s="32" t="str">
        <f aca="false">IF(B500="","",IFERROR(INDEX(Kategorien!$B$5:$B$37,MATCH(B500,Kategorien!$A$5:$A$37,0)),"unbekannte Kategorie"))</f>
        <v/>
      </c>
    </row>
    <row r="501" customFormat="false" ht="15" hidden="false" customHeight="false" outlineLevel="0" collapsed="false">
      <c r="A501" s="29"/>
      <c r="B501" s="30"/>
      <c r="C501" s="30"/>
      <c r="D501" s="31"/>
      <c r="E501" s="32" t="str">
        <f aca="false">IF(B501="","",IFERROR(INDEX(Kategorien!$B$5:$B$37,MATCH(B501,Kategorien!$A$5:$A$37,0)),"unbekannte Kategorie"))</f>
        <v/>
      </c>
    </row>
    <row r="502" customFormat="false" ht="15" hidden="false" customHeight="false" outlineLevel="0" collapsed="false">
      <c r="A502" s="29"/>
      <c r="B502" s="30"/>
      <c r="C502" s="30"/>
      <c r="D502" s="31"/>
      <c r="E502" s="32" t="str">
        <f aca="false">IF(B502="","",IFERROR(INDEX(Kategorien!$B$5:$B$37,MATCH(B502,Kategorien!$A$5:$A$37,0)),"unbekannte Kategorie"))</f>
        <v/>
      </c>
    </row>
    <row r="503" customFormat="false" ht="15" hidden="false" customHeight="false" outlineLevel="0" collapsed="false">
      <c r="A503" s="29"/>
      <c r="B503" s="30"/>
      <c r="C503" s="30"/>
      <c r="D503" s="31"/>
      <c r="E503" s="32" t="str">
        <f aca="false">IF(B503="","",IFERROR(INDEX(Kategorien!$B$5:$B$37,MATCH(B503,Kategorien!$A$5:$A$37,0)),"unbekannte Kategorie"))</f>
        <v/>
      </c>
    </row>
    <row r="504" customFormat="false" ht="15" hidden="false" customHeight="false" outlineLevel="0" collapsed="false">
      <c r="A504" s="29"/>
      <c r="B504" s="30"/>
      <c r="C504" s="30"/>
      <c r="D504" s="31"/>
      <c r="E504" s="32" t="str">
        <f aca="false">IF(B504="","",IFERROR(INDEX(Kategorien!$B$5:$B$37,MATCH(B504,Kategorien!$A$5:$A$37,0)),"unbekannte Kategorie"))</f>
        <v/>
      </c>
    </row>
    <row r="505" customFormat="false" ht="15" hidden="false" customHeight="false" outlineLevel="0" collapsed="false">
      <c r="A505" s="29"/>
      <c r="B505" s="30"/>
      <c r="C505" s="30"/>
      <c r="D505" s="31"/>
      <c r="E505" s="32" t="str">
        <f aca="false">IF(B505="","",IFERROR(INDEX(Kategorien!$B$5:$B$37,MATCH(B505,Kategorien!$A$5:$A$37,0)),"unbekannte Kategorie"))</f>
        <v/>
      </c>
    </row>
    <row r="506" customFormat="false" ht="15" hidden="false" customHeight="false" outlineLevel="0" collapsed="false">
      <c r="A506" s="29"/>
      <c r="B506" s="30"/>
      <c r="C506" s="30"/>
      <c r="D506" s="31"/>
      <c r="E506" s="32" t="str">
        <f aca="false">IF(B506="","",IFERROR(INDEX(Kategorien!$B$5:$B$37,MATCH(B506,Kategorien!$A$5:$A$37,0)),"unbekannte Kategorie"))</f>
        <v/>
      </c>
    </row>
    <row r="507" customFormat="false" ht="15" hidden="false" customHeight="false" outlineLevel="0" collapsed="false">
      <c r="A507" s="29"/>
      <c r="B507" s="30"/>
      <c r="C507" s="30"/>
      <c r="D507" s="31"/>
      <c r="E507" s="32" t="str">
        <f aca="false">IF(B507="","",IFERROR(INDEX(Kategorien!$B$5:$B$37,MATCH(B507,Kategorien!$A$5:$A$37,0)),"unbekannte Kategorie"))</f>
        <v/>
      </c>
    </row>
    <row r="508" customFormat="false" ht="15" hidden="false" customHeight="false" outlineLevel="0" collapsed="false">
      <c r="A508" s="29"/>
      <c r="B508" s="30"/>
      <c r="C508" s="30"/>
      <c r="D508" s="31"/>
      <c r="E508" s="32" t="str">
        <f aca="false">IF(B508="","",IFERROR(INDEX(Kategorien!$B$5:$B$37,MATCH(B508,Kategorien!$A$5:$A$37,0)),"unbekannte Kategorie"))</f>
        <v/>
      </c>
    </row>
    <row r="509" customFormat="false" ht="15" hidden="false" customHeight="false" outlineLevel="0" collapsed="false">
      <c r="A509" s="29"/>
      <c r="B509" s="30"/>
      <c r="C509" s="30"/>
      <c r="D509" s="31"/>
      <c r="E509" s="32" t="str">
        <f aca="false">IF(B509="","",IFERROR(INDEX(Kategorien!$B$5:$B$37,MATCH(B509,Kategorien!$A$5:$A$37,0)),"unbekannte Kategorie"))</f>
        <v/>
      </c>
    </row>
    <row r="510" customFormat="false" ht="15" hidden="false" customHeight="false" outlineLevel="0" collapsed="false">
      <c r="A510" s="29"/>
      <c r="B510" s="30"/>
      <c r="C510" s="30"/>
      <c r="D510" s="31"/>
      <c r="E510" s="32" t="str">
        <f aca="false">IF(B510="","",IFERROR(INDEX(Kategorien!$B$5:$B$37,MATCH(B510,Kategorien!$A$5:$A$37,0)),"unbekannte Kategorie"))</f>
        <v/>
      </c>
    </row>
    <row r="511" customFormat="false" ht="15" hidden="false" customHeight="false" outlineLevel="0" collapsed="false">
      <c r="A511" s="29"/>
      <c r="B511" s="30"/>
      <c r="C511" s="30"/>
      <c r="D511" s="31"/>
      <c r="E511" s="32" t="str">
        <f aca="false">IF(B511="","",IFERROR(INDEX(Kategorien!$B$5:$B$37,MATCH(B511,Kategorien!$A$5:$A$37,0)),"unbekannte Kategorie"))</f>
        <v/>
      </c>
    </row>
    <row r="512" customFormat="false" ht="15" hidden="false" customHeight="false" outlineLevel="0" collapsed="false">
      <c r="A512" s="29"/>
      <c r="B512" s="30"/>
      <c r="C512" s="30"/>
      <c r="D512" s="31"/>
      <c r="E512" s="32" t="str">
        <f aca="false">IF(B512="","",IFERROR(INDEX(Kategorien!$B$5:$B$37,MATCH(B512,Kategorien!$A$5:$A$37,0)),"unbekannte Kategorie"))</f>
        <v/>
      </c>
    </row>
    <row r="513" customFormat="false" ht="15" hidden="false" customHeight="false" outlineLevel="0" collapsed="false">
      <c r="A513" s="29"/>
      <c r="B513" s="30"/>
      <c r="C513" s="30"/>
      <c r="D513" s="31"/>
      <c r="E513" s="32" t="str">
        <f aca="false">IF(B513="","",IFERROR(INDEX(Kategorien!$B$5:$B$37,MATCH(B513,Kategorien!$A$5:$A$37,0)),"unbekannte Kategorie"))</f>
        <v/>
      </c>
    </row>
    <row r="514" customFormat="false" ht="15" hidden="false" customHeight="false" outlineLevel="0" collapsed="false">
      <c r="A514" s="29"/>
      <c r="B514" s="30"/>
      <c r="C514" s="30"/>
      <c r="D514" s="31"/>
      <c r="E514" s="32" t="str">
        <f aca="false">IF(B514="","",IFERROR(INDEX(Kategorien!$B$5:$B$37,MATCH(B514,Kategorien!$A$5:$A$37,0)),"unbekannte Kategorie"))</f>
        <v/>
      </c>
    </row>
    <row r="515" customFormat="false" ht="15" hidden="false" customHeight="false" outlineLevel="0" collapsed="false">
      <c r="A515" s="29"/>
      <c r="B515" s="30"/>
      <c r="C515" s="30"/>
      <c r="D515" s="31"/>
      <c r="E515" s="32" t="str">
        <f aca="false">IF(B515="","",IFERROR(INDEX(Kategorien!$B$5:$B$37,MATCH(B515,Kategorien!$A$5:$A$37,0)),"unbekannte Kategorie"))</f>
        <v/>
      </c>
    </row>
    <row r="516" customFormat="false" ht="15" hidden="false" customHeight="false" outlineLevel="0" collapsed="false">
      <c r="A516" s="29"/>
      <c r="B516" s="30"/>
      <c r="C516" s="30"/>
      <c r="D516" s="31"/>
      <c r="E516" s="32" t="str">
        <f aca="false">IF(B516="","",IFERROR(INDEX(Kategorien!$B$5:$B$37,MATCH(B516,Kategorien!$A$5:$A$37,0)),"unbekannte Kategorie"))</f>
        <v/>
      </c>
    </row>
    <row r="517" customFormat="false" ht="15" hidden="false" customHeight="false" outlineLevel="0" collapsed="false">
      <c r="A517" s="29"/>
      <c r="B517" s="30"/>
      <c r="C517" s="30"/>
      <c r="D517" s="31"/>
      <c r="E517" s="32" t="str">
        <f aca="false">IF(B517="","",IFERROR(INDEX(Kategorien!$B$5:$B$37,MATCH(B517,Kategorien!$A$5:$A$37,0)),"unbekannte Kategorie"))</f>
        <v/>
      </c>
    </row>
    <row r="518" customFormat="false" ht="15" hidden="false" customHeight="false" outlineLevel="0" collapsed="false">
      <c r="A518" s="29"/>
      <c r="B518" s="30"/>
      <c r="C518" s="30"/>
      <c r="D518" s="31"/>
      <c r="E518" s="32" t="str">
        <f aca="false">IF(B518="","",IFERROR(INDEX(Kategorien!$B$5:$B$37,MATCH(B518,Kategorien!$A$5:$A$37,0)),"unbekannte Kategorie"))</f>
        <v/>
      </c>
    </row>
    <row r="519" customFormat="false" ht="15" hidden="false" customHeight="false" outlineLevel="0" collapsed="false">
      <c r="A519" s="29"/>
      <c r="B519" s="30"/>
      <c r="C519" s="30"/>
      <c r="D519" s="31"/>
      <c r="E519" s="32" t="str">
        <f aca="false">IF(B519="","",IFERROR(INDEX(Kategorien!$B$5:$B$37,MATCH(B519,Kategorien!$A$5:$A$37,0)),"unbekannte Kategorie"))</f>
        <v/>
      </c>
    </row>
    <row r="520" customFormat="false" ht="15" hidden="false" customHeight="false" outlineLevel="0" collapsed="false">
      <c r="A520" s="29"/>
      <c r="B520" s="30"/>
      <c r="C520" s="30"/>
      <c r="D520" s="31"/>
      <c r="E520" s="32" t="str">
        <f aca="false">IF(B520="","",IFERROR(INDEX(Kategorien!$B$5:$B$37,MATCH(B520,Kategorien!$A$5:$A$37,0)),"unbekannte Kategorie"))</f>
        <v/>
      </c>
    </row>
    <row r="521" customFormat="false" ht="15" hidden="false" customHeight="false" outlineLevel="0" collapsed="false">
      <c r="A521" s="29"/>
      <c r="B521" s="30"/>
      <c r="C521" s="30"/>
      <c r="D521" s="31"/>
      <c r="E521" s="32" t="str">
        <f aca="false">IF(B521="","",IFERROR(INDEX(Kategorien!$B$5:$B$37,MATCH(B521,Kategorien!$A$5:$A$37,0)),"unbekannte Kategorie"))</f>
        <v/>
      </c>
    </row>
    <row r="522" customFormat="false" ht="15" hidden="false" customHeight="false" outlineLevel="0" collapsed="false">
      <c r="A522" s="29"/>
      <c r="B522" s="30"/>
      <c r="C522" s="30"/>
      <c r="D522" s="31"/>
      <c r="E522" s="32" t="str">
        <f aca="false">IF(B522="","",IFERROR(INDEX(Kategorien!$B$5:$B$37,MATCH(B522,Kategorien!$A$5:$A$37,0)),"unbekannte Kategorie"))</f>
        <v/>
      </c>
    </row>
    <row r="523" customFormat="false" ht="15" hidden="false" customHeight="false" outlineLevel="0" collapsed="false">
      <c r="A523" s="29"/>
      <c r="B523" s="30"/>
      <c r="C523" s="30"/>
      <c r="D523" s="31"/>
      <c r="E523" s="32" t="str">
        <f aca="false">IF(B523="","",IFERROR(INDEX(Kategorien!$B$5:$B$37,MATCH(B523,Kategorien!$A$5:$A$37,0)),"unbekannte Kategorie"))</f>
        <v/>
      </c>
    </row>
    <row r="524" customFormat="false" ht="15" hidden="false" customHeight="false" outlineLevel="0" collapsed="false">
      <c r="A524" s="29"/>
      <c r="B524" s="30"/>
      <c r="C524" s="30"/>
      <c r="D524" s="31"/>
      <c r="E524" s="32" t="str">
        <f aca="false">IF(B524="","",IFERROR(INDEX(Kategorien!$B$5:$B$37,MATCH(B524,Kategorien!$A$5:$A$37,0)),"unbekannte Kategorie"))</f>
        <v/>
      </c>
    </row>
    <row r="525" customFormat="false" ht="15" hidden="false" customHeight="false" outlineLevel="0" collapsed="false">
      <c r="A525" s="29"/>
      <c r="B525" s="30"/>
      <c r="C525" s="30"/>
      <c r="D525" s="31"/>
      <c r="E525" s="32" t="str">
        <f aca="false">IF(B525="","",IFERROR(INDEX(Kategorien!$B$5:$B$37,MATCH(B525,Kategorien!$A$5:$A$37,0)),"unbekannte Kategorie"))</f>
        <v/>
      </c>
    </row>
    <row r="526" customFormat="false" ht="15" hidden="false" customHeight="false" outlineLevel="0" collapsed="false">
      <c r="A526" s="29"/>
      <c r="B526" s="30"/>
      <c r="C526" s="30"/>
      <c r="D526" s="31"/>
      <c r="E526" s="32" t="str">
        <f aca="false">IF(B526="","",IFERROR(INDEX(Kategorien!$B$5:$B$37,MATCH(B526,Kategorien!$A$5:$A$37,0)),"unbekannte Kategorie"))</f>
        <v/>
      </c>
    </row>
    <row r="527" customFormat="false" ht="15" hidden="false" customHeight="false" outlineLevel="0" collapsed="false">
      <c r="A527" s="29"/>
      <c r="B527" s="30"/>
      <c r="C527" s="30"/>
      <c r="D527" s="31"/>
      <c r="E527" s="32" t="str">
        <f aca="false">IF(B527="","",IFERROR(INDEX(Kategorien!$B$5:$B$37,MATCH(B527,Kategorien!$A$5:$A$37,0)),"unbekannte Kategorie"))</f>
        <v/>
      </c>
    </row>
    <row r="528" customFormat="false" ht="15" hidden="false" customHeight="false" outlineLevel="0" collapsed="false">
      <c r="A528" s="29"/>
      <c r="B528" s="30"/>
      <c r="C528" s="30"/>
      <c r="D528" s="31"/>
      <c r="E528" s="32" t="str">
        <f aca="false">IF(B528="","",IFERROR(INDEX(Kategorien!$B$5:$B$37,MATCH(B528,Kategorien!$A$5:$A$37,0)),"unbekannte Kategorie"))</f>
        <v/>
      </c>
    </row>
    <row r="529" customFormat="false" ht="15" hidden="false" customHeight="false" outlineLevel="0" collapsed="false">
      <c r="A529" s="29"/>
      <c r="B529" s="30"/>
      <c r="C529" s="30"/>
      <c r="D529" s="31"/>
      <c r="E529" s="32" t="str">
        <f aca="false">IF(B529="","",IFERROR(INDEX(Kategorien!$B$5:$B$37,MATCH(B529,Kategorien!$A$5:$A$37,0)),"unbekannte Kategorie"))</f>
        <v/>
      </c>
    </row>
    <row r="530" customFormat="false" ht="15" hidden="false" customHeight="false" outlineLevel="0" collapsed="false">
      <c r="A530" s="29"/>
      <c r="B530" s="30"/>
      <c r="C530" s="30"/>
      <c r="D530" s="31"/>
      <c r="E530" s="32" t="str">
        <f aca="false">IF(B530="","",IFERROR(INDEX(Kategorien!$B$5:$B$37,MATCH(B530,Kategorien!$A$5:$A$37,0)),"unbekannte Kategorie"))</f>
        <v/>
      </c>
    </row>
    <row r="531" customFormat="false" ht="15" hidden="false" customHeight="false" outlineLevel="0" collapsed="false">
      <c r="A531" s="29"/>
      <c r="B531" s="30"/>
      <c r="C531" s="30"/>
      <c r="D531" s="31"/>
      <c r="E531" s="32" t="str">
        <f aca="false">IF(B531="","",IFERROR(INDEX(Kategorien!$B$5:$B$37,MATCH(B531,Kategorien!$A$5:$A$37,0)),"unbekannte Kategorie"))</f>
        <v/>
      </c>
    </row>
    <row r="532" customFormat="false" ht="15" hidden="false" customHeight="false" outlineLevel="0" collapsed="false">
      <c r="A532" s="29"/>
      <c r="B532" s="30"/>
      <c r="C532" s="30"/>
      <c r="D532" s="31"/>
      <c r="E532" s="32" t="str">
        <f aca="false">IF(B532="","",IFERROR(INDEX(Kategorien!$B$5:$B$37,MATCH(B532,Kategorien!$A$5:$A$37,0)),"unbekannte Kategorie"))</f>
        <v/>
      </c>
    </row>
    <row r="533" customFormat="false" ht="15" hidden="false" customHeight="false" outlineLevel="0" collapsed="false">
      <c r="A533" s="29"/>
      <c r="B533" s="30"/>
      <c r="C533" s="30"/>
      <c r="D533" s="31"/>
      <c r="E533" s="32" t="str">
        <f aca="false">IF(B533="","",IFERROR(INDEX(Kategorien!$B$5:$B$37,MATCH(B533,Kategorien!$A$5:$A$37,0)),"unbekannte Kategorie"))</f>
        <v/>
      </c>
    </row>
    <row r="534" customFormat="false" ht="15" hidden="false" customHeight="false" outlineLevel="0" collapsed="false">
      <c r="A534" s="29"/>
      <c r="B534" s="30"/>
      <c r="C534" s="30"/>
      <c r="D534" s="31"/>
      <c r="E534" s="32" t="str">
        <f aca="false">IF(B534="","",IFERROR(INDEX(Kategorien!$B$5:$B$37,MATCH(B534,Kategorien!$A$5:$A$37,0)),"unbekannte Kategorie"))</f>
        <v/>
      </c>
    </row>
    <row r="535" customFormat="false" ht="15" hidden="false" customHeight="false" outlineLevel="0" collapsed="false">
      <c r="A535" s="29"/>
      <c r="B535" s="30"/>
      <c r="C535" s="30"/>
      <c r="D535" s="31"/>
      <c r="E535" s="32" t="str">
        <f aca="false">IF(B535="","",IFERROR(INDEX(Kategorien!$B$5:$B$37,MATCH(B535,Kategorien!$A$5:$A$37,0)),"unbekannte Kategorie"))</f>
        <v/>
      </c>
    </row>
    <row r="536" customFormat="false" ht="15" hidden="false" customHeight="false" outlineLevel="0" collapsed="false">
      <c r="A536" s="29"/>
      <c r="B536" s="30"/>
      <c r="C536" s="30"/>
      <c r="D536" s="31"/>
      <c r="E536" s="32" t="str">
        <f aca="false">IF(B536="","",IFERROR(INDEX(Kategorien!$B$5:$B$37,MATCH(B536,Kategorien!$A$5:$A$37,0)),"unbekannte Kategorie"))</f>
        <v/>
      </c>
    </row>
    <row r="537" customFormat="false" ht="15" hidden="false" customHeight="false" outlineLevel="0" collapsed="false">
      <c r="A537" s="29"/>
      <c r="B537" s="30"/>
      <c r="C537" s="30"/>
      <c r="D537" s="31"/>
      <c r="E537" s="32" t="str">
        <f aca="false">IF(B537="","",IFERROR(INDEX(Kategorien!$B$5:$B$37,MATCH(B537,Kategorien!$A$5:$A$37,0)),"unbekannte Kategorie"))</f>
        <v/>
      </c>
    </row>
    <row r="538" customFormat="false" ht="15" hidden="false" customHeight="false" outlineLevel="0" collapsed="false">
      <c r="A538" s="29"/>
      <c r="B538" s="30"/>
      <c r="C538" s="30"/>
      <c r="D538" s="31"/>
      <c r="E538" s="32" t="str">
        <f aca="false">IF(B538="","",IFERROR(INDEX(Kategorien!$B$5:$B$37,MATCH(B538,Kategorien!$A$5:$A$37,0)),"unbekannte Kategorie"))</f>
        <v/>
      </c>
    </row>
    <row r="539" customFormat="false" ht="15" hidden="false" customHeight="false" outlineLevel="0" collapsed="false">
      <c r="A539" s="29"/>
      <c r="B539" s="30"/>
      <c r="C539" s="30"/>
      <c r="D539" s="31"/>
      <c r="E539" s="32" t="str">
        <f aca="false">IF(B539="","",IFERROR(INDEX(Kategorien!$B$5:$B$37,MATCH(B539,Kategorien!$A$5:$A$37,0)),"unbekannte Kategorie"))</f>
        <v/>
      </c>
    </row>
    <row r="540" customFormat="false" ht="15" hidden="false" customHeight="false" outlineLevel="0" collapsed="false">
      <c r="A540" s="29"/>
      <c r="B540" s="30"/>
      <c r="C540" s="30"/>
      <c r="D540" s="31"/>
      <c r="E540" s="32" t="str">
        <f aca="false">IF(B540="","",IFERROR(INDEX(Kategorien!$B$5:$B$37,MATCH(B540,Kategorien!$A$5:$A$37,0)),"unbekannte Kategorie"))</f>
        <v/>
      </c>
    </row>
    <row r="541" customFormat="false" ht="15" hidden="false" customHeight="false" outlineLevel="0" collapsed="false">
      <c r="A541" s="29"/>
      <c r="B541" s="30"/>
      <c r="C541" s="30"/>
      <c r="D541" s="31"/>
      <c r="E541" s="32" t="str">
        <f aca="false">IF(B541="","",IFERROR(INDEX(Kategorien!$B$5:$B$37,MATCH(B541,Kategorien!$A$5:$A$37,0)),"unbekannte Kategorie"))</f>
        <v/>
      </c>
    </row>
    <row r="542" customFormat="false" ht="15" hidden="false" customHeight="false" outlineLevel="0" collapsed="false">
      <c r="A542" s="29"/>
      <c r="B542" s="30"/>
      <c r="C542" s="30"/>
      <c r="D542" s="31"/>
      <c r="E542" s="32" t="str">
        <f aca="false">IF(B542="","",IFERROR(INDEX(Kategorien!$B$5:$B$37,MATCH(B542,Kategorien!$A$5:$A$37,0)),"unbekannte Kategorie"))</f>
        <v/>
      </c>
    </row>
    <row r="543" customFormat="false" ht="15" hidden="false" customHeight="false" outlineLevel="0" collapsed="false">
      <c r="A543" s="29"/>
      <c r="B543" s="30"/>
      <c r="C543" s="30"/>
      <c r="D543" s="31"/>
      <c r="E543" s="32" t="str">
        <f aca="false">IF(B543="","",IFERROR(INDEX(Kategorien!$B$5:$B$37,MATCH(B543,Kategorien!$A$5:$A$37,0)),"unbekannte Kategorie"))</f>
        <v/>
      </c>
    </row>
    <row r="544" customFormat="false" ht="15" hidden="false" customHeight="false" outlineLevel="0" collapsed="false">
      <c r="A544" s="29"/>
      <c r="B544" s="30"/>
      <c r="C544" s="30"/>
      <c r="D544" s="31"/>
      <c r="E544" s="32" t="str">
        <f aca="false">IF(B544="","",IFERROR(INDEX(Kategorien!$B$5:$B$37,MATCH(B544,Kategorien!$A$5:$A$37,0)),"unbekannte Kategorie"))</f>
        <v/>
      </c>
    </row>
    <row r="545" customFormat="false" ht="15" hidden="false" customHeight="false" outlineLevel="0" collapsed="false">
      <c r="A545" s="29"/>
      <c r="B545" s="30"/>
      <c r="C545" s="30"/>
      <c r="D545" s="31"/>
      <c r="E545" s="32" t="str">
        <f aca="false">IF(B545="","",IFERROR(INDEX(Kategorien!$B$5:$B$37,MATCH(B545,Kategorien!$A$5:$A$37,0)),"unbekannte Kategorie"))</f>
        <v/>
      </c>
    </row>
    <row r="546" customFormat="false" ht="15" hidden="false" customHeight="false" outlineLevel="0" collapsed="false">
      <c r="A546" s="29"/>
      <c r="B546" s="30"/>
      <c r="C546" s="30"/>
      <c r="D546" s="31"/>
      <c r="E546" s="32" t="str">
        <f aca="false">IF(B546="","",IFERROR(INDEX(Kategorien!$B$5:$B$37,MATCH(B546,Kategorien!$A$5:$A$37,0)),"unbekannte Kategorie"))</f>
        <v/>
      </c>
    </row>
    <row r="547" customFormat="false" ht="15" hidden="false" customHeight="false" outlineLevel="0" collapsed="false">
      <c r="A547" s="29"/>
      <c r="B547" s="30"/>
      <c r="C547" s="30"/>
      <c r="D547" s="31"/>
      <c r="E547" s="32" t="str">
        <f aca="false">IF(B547="","",IFERROR(INDEX(Kategorien!$B$5:$B$37,MATCH(B547,Kategorien!$A$5:$A$37,0)),"unbekannte Kategorie"))</f>
        <v/>
      </c>
    </row>
    <row r="548" customFormat="false" ht="15" hidden="false" customHeight="false" outlineLevel="0" collapsed="false">
      <c r="A548" s="29"/>
      <c r="B548" s="30"/>
      <c r="C548" s="30"/>
      <c r="D548" s="31"/>
      <c r="E548" s="32" t="str">
        <f aca="false">IF(B548="","",IFERROR(INDEX(Kategorien!$B$5:$B$37,MATCH(B548,Kategorien!$A$5:$A$37,0)),"unbekannte Kategorie"))</f>
        <v/>
      </c>
    </row>
    <row r="549" customFormat="false" ht="15" hidden="false" customHeight="false" outlineLevel="0" collapsed="false">
      <c r="A549" s="29"/>
      <c r="B549" s="30"/>
      <c r="C549" s="30"/>
      <c r="D549" s="31"/>
      <c r="E549" s="32" t="str">
        <f aca="false">IF(B549="","",IFERROR(INDEX(Kategorien!$B$5:$B$37,MATCH(B549,Kategorien!$A$5:$A$37,0)),"unbekannte Kategorie"))</f>
        <v/>
      </c>
    </row>
    <row r="550" customFormat="false" ht="15" hidden="false" customHeight="false" outlineLevel="0" collapsed="false">
      <c r="A550" s="29"/>
      <c r="B550" s="30"/>
      <c r="C550" s="30"/>
      <c r="D550" s="31"/>
      <c r="E550" s="32" t="str">
        <f aca="false">IF(B550="","",IFERROR(INDEX(Kategorien!$B$5:$B$37,MATCH(B550,Kategorien!$A$5:$A$37,0)),"unbekannte Kategorie"))</f>
        <v/>
      </c>
    </row>
    <row r="551" customFormat="false" ht="15" hidden="false" customHeight="false" outlineLevel="0" collapsed="false">
      <c r="A551" s="29"/>
      <c r="B551" s="30"/>
      <c r="C551" s="30"/>
      <c r="D551" s="31"/>
      <c r="E551" s="32" t="str">
        <f aca="false">IF(B551="","",IFERROR(INDEX(Kategorien!$B$5:$B$37,MATCH(B551,Kategorien!$A$5:$A$37,0)),"unbekannte Kategorie"))</f>
        <v/>
      </c>
    </row>
    <row r="552" customFormat="false" ht="15" hidden="false" customHeight="false" outlineLevel="0" collapsed="false">
      <c r="A552" s="29"/>
      <c r="B552" s="30"/>
      <c r="C552" s="30"/>
      <c r="D552" s="31"/>
      <c r="E552" s="32" t="str">
        <f aca="false">IF(B552="","",IFERROR(INDEX(Kategorien!$B$5:$B$37,MATCH(B552,Kategorien!$A$5:$A$37,0)),"unbekannte Kategorie"))</f>
        <v/>
      </c>
    </row>
    <row r="553" customFormat="false" ht="15" hidden="false" customHeight="false" outlineLevel="0" collapsed="false">
      <c r="A553" s="29"/>
      <c r="B553" s="30"/>
      <c r="C553" s="30"/>
      <c r="D553" s="31"/>
      <c r="E553" s="32" t="str">
        <f aca="false">IF(B553="","",IFERROR(INDEX(Kategorien!$B$5:$B$37,MATCH(B553,Kategorien!$A$5:$A$37,0)),"unbekannte Kategorie"))</f>
        <v/>
      </c>
    </row>
    <row r="554" customFormat="false" ht="15" hidden="false" customHeight="false" outlineLevel="0" collapsed="false">
      <c r="A554" s="29"/>
      <c r="B554" s="30"/>
      <c r="C554" s="30"/>
      <c r="D554" s="31"/>
      <c r="E554" s="32" t="str">
        <f aca="false">IF(B554="","",IFERROR(INDEX(Kategorien!$B$5:$B$37,MATCH(B554,Kategorien!$A$5:$A$37,0)),"unbekannte Kategorie"))</f>
        <v/>
      </c>
    </row>
    <row r="555" customFormat="false" ht="15" hidden="false" customHeight="false" outlineLevel="0" collapsed="false">
      <c r="A555" s="29"/>
      <c r="B555" s="30"/>
      <c r="C555" s="30"/>
      <c r="D555" s="31"/>
      <c r="E555" s="32" t="str">
        <f aca="false">IF(B555="","",IFERROR(INDEX(Kategorien!$B$5:$B$37,MATCH(B555,Kategorien!$A$5:$A$37,0)),"unbekannte Kategorie"))</f>
        <v/>
      </c>
    </row>
    <row r="556" customFormat="false" ht="15" hidden="false" customHeight="false" outlineLevel="0" collapsed="false">
      <c r="A556" s="29"/>
      <c r="B556" s="30"/>
      <c r="C556" s="30"/>
      <c r="D556" s="31"/>
      <c r="E556" s="32" t="str">
        <f aca="false">IF(B556="","",IFERROR(INDEX(Kategorien!$B$5:$B$37,MATCH(B556,Kategorien!$A$5:$A$37,0)),"unbekannte Kategorie"))</f>
        <v/>
      </c>
    </row>
    <row r="557" customFormat="false" ht="15" hidden="false" customHeight="false" outlineLevel="0" collapsed="false">
      <c r="A557" s="29"/>
      <c r="B557" s="30"/>
      <c r="C557" s="30"/>
      <c r="D557" s="31"/>
      <c r="E557" s="32" t="str">
        <f aca="false">IF(B557="","",IFERROR(INDEX(Kategorien!$B$5:$B$37,MATCH(B557,Kategorien!$A$5:$A$37,0)),"unbekannte Kategorie"))</f>
        <v/>
      </c>
    </row>
    <row r="558" customFormat="false" ht="15" hidden="false" customHeight="false" outlineLevel="0" collapsed="false">
      <c r="A558" s="29"/>
      <c r="B558" s="30"/>
      <c r="C558" s="30"/>
      <c r="D558" s="31"/>
      <c r="E558" s="32" t="str">
        <f aca="false">IF(B558="","",IFERROR(INDEX(Kategorien!$B$5:$B$37,MATCH(B558,Kategorien!$A$5:$A$37,0)),"unbekannte Kategorie"))</f>
        <v/>
      </c>
    </row>
    <row r="559" customFormat="false" ht="15" hidden="false" customHeight="false" outlineLevel="0" collapsed="false">
      <c r="A559" s="29"/>
      <c r="B559" s="30"/>
      <c r="C559" s="30"/>
      <c r="D559" s="31"/>
      <c r="E559" s="32" t="str">
        <f aca="false">IF(B559="","",IFERROR(INDEX(Kategorien!$B$5:$B$37,MATCH(B559,Kategorien!$A$5:$A$37,0)),"unbekannte Kategorie"))</f>
        <v/>
      </c>
    </row>
    <row r="560" customFormat="false" ht="15" hidden="false" customHeight="false" outlineLevel="0" collapsed="false">
      <c r="A560" s="29"/>
      <c r="B560" s="30"/>
      <c r="C560" s="30"/>
      <c r="D560" s="31"/>
      <c r="E560" s="32" t="str">
        <f aca="false">IF(B560="","",IFERROR(INDEX(Kategorien!$B$5:$B$37,MATCH(B560,Kategorien!$A$5:$A$37,0)),"unbekannte Kategorie"))</f>
        <v/>
      </c>
    </row>
    <row r="561" customFormat="false" ht="15" hidden="false" customHeight="false" outlineLevel="0" collapsed="false">
      <c r="A561" s="29"/>
      <c r="B561" s="30"/>
      <c r="C561" s="30"/>
      <c r="D561" s="31"/>
      <c r="E561" s="32" t="str">
        <f aca="false">IF(B561="","",IFERROR(INDEX(Kategorien!$B$5:$B$37,MATCH(B561,Kategorien!$A$5:$A$37,0)),"unbekannte Kategorie"))</f>
        <v/>
      </c>
    </row>
    <row r="562" customFormat="false" ht="15" hidden="false" customHeight="false" outlineLevel="0" collapsed="false">
      <c r="A562" s="29"/>
      <c r="B562" s="30"/>
      <c r="C562" s="30"/>
      <c r="D562" s="31"/>
      <c r="E562" s="32" t="str">
        <f aca="false">IF(B562="","",IFERROR(INDEX(Kategorien!$B$5:$B$37,MATCH(B562,Kategorien!$A$5:$A$37,0)),"unbekannte Kategorie"))</f>
        <v/>
      </c>
    </row>
    <row r="563" customFormat="false" ht="15" hidden="false" customHeight="false" outlineLevel="0" collapsed="false">
      <c r="A563" s="29"/>
      <c r="B563" s="30"/>
      <c r="C563" s="30"/>
      <c r="D563" s="31"/>
      <c r="E563" s="32" t="str">
        <f aca="false">IF(B563="","",IFERROR(INDEX(Kategorien!$B$5:$B$37,MATCH(B563,Kategorien!$A$5:$A$37,0)),"unbekannte Kategorie"))</f>
        <v/>
      </c>
    </row>
    <row r="564" customFormat="false" ht="15" hidden="false" customHeight="false" outlineLevel="0" collapsed="false">
      <c r="A564" s="29"/>
      <c r="B564" s="30"/>
      <c r="C564" s="30"/>
      <c r="D564" s="31"/>
      <c r="E564" s="32" t="str">
        <f aca="false">IF(B564="","",IFERROR(INDEX(Kategorien!$B$5:$B$37,MATCH(B564,Kategorien!$A$5:$A$37,0)),"unbekannte Kategorie"))</f>
        <v/>
      </c>
    </row>
    <row r="565" customFormat="false" ht="15" hidden="false" customHeight="false" outlineLevel="0" collapsed="false">
      <c r="A565" s="29"/>
      <c r="B565" s="30"/>
      <c r="C565" s="30"/>
      <c r="D565" s="31"/>
      <c r="E565" s="32" t="str">
        <f aca="false">IF(B565="","",IFERROR(INDEX(Kategorien!$B$5:$B$37,MATCH(B565,Kategorien!$A$5:$A$37,0)),"unbekannte Kategorie"))</f>
        <v/>
      </c>
    </row>
    <row r="566" customFormat="false" ht="15" hidden="false" customHeight="false" outlineLevel="0" collapsed="false">
      <c r="A566" s="29"/>
      <c r="B566" s="30"/>
      <c r="C566" s="30"/>
      <c r="D566" s="31"/>
      <c r="E566" s="32" t="str">
        <f aca="false">IF(B566="","",IFERROR(INDEX(Kategorien!$B$5:$B$37,MATCH(B566,Kategorien!$A$5:$A$37,0)),"unbekannte Kategorie"))</f>
        <v/>
      </c>
    </row>
    <row r="567" customFormat="false" ht="15" hidden="false" customHeight="false" outlineLevel="0" collapsed="false">
      <c r="A567" s="29"/>
      <c r="B567" s="30"/>
      <c r="C567" s="30"/>
      <c r="D567" s="31"/>
      <c r="E567" s="32" t="str">
        <f aca="false">IF(B567="","",IFERROR(INDEX(Kategorien!$B$5:$B$37,MATCH(B567,Kategorien!$A$5:$A$37,0)),"unbekannte Kategorie"))</f>
        <v/>
      </c>
    </row>
    <row r="568" customFormat="false" ht="15" hidden="false" customHeight="false" outlineLevel="0" collapsed="false">
      <c r="A568" s="29"/>
      <c r="B568" s="30"/>
      <c r="C568" s="30"/>
      <c r="D568" s="31"/>
      <c r="E568" s="32" t="str">
        <f aca="false">IF(B568="","",IFERROR(INDEX(Kategorien!$B$5:$B$37,MATCH(B568,Kategorien!$A$5:$A$37,0)),"unbekannte Kategorie"))</f>
        <v/>
      </c>
    </row>
    <row r="569" customFormat="false" ht="15" hidden="false" customHeight="false" outlineLevel="0" collapsed="false">
      <c r="A569" s="29"/>
      <c r="B569" s="30"/>
      <c r="C569" s="30"/>
      <c r="D569" s="31"/>
      <c r="E569" s="32" t="str">
        <f aca="false">IF(B569="","",IFERROR(INDEX(Kategorien!$B$5:$B$37,MATCH(B569,Kategorien!$A$5:$A$37,0)),"unbekannte Kategorie"))</f>
        <v/>
      </c>
    </row>
    <row r="570" customFormat="false" ht="15" hidden="false" customHeight="false" outlineLevel="0" collapsed="false">
      <c r="A570" s="29"/>
      <c r="B570" s="30"/>
      <c r="C570" s="30"/>
      <c r="D570" s="31"/>
      <c r="E570" s="32" t="str">
        <f aca="false">IF(B570="","",IFERROR(INDEX(Kategorien!$B$5:$B$37,MATCH(B570,Kategorien!$A$5:$A$37,0)),"unbekannte Kategorie"))</f>
        <v/>
      </c>
    </row>
    <row r="571" customFormat="false" ht="15" hidden="false" customHeight="false" outlineLevel="0" collapsed="false">
      <c r="A571" s="29"/>
      <c r="B571" s="30"/>
      <c r="C571" s="30"/>
      <c r="D571" s="31"/>
      <c r="E571" s="32" t="str">
        <f aca="false">IF(B571="","",IFERROR(INDEX(Kategorien!$B$5:$B$37,MATCH(B571,Kategorien!$A$5:$A$37,0)),"unbekannte Kategorie"))</f>
        <v/>
      </c>
    </row>
    <row r="572" customFormat="false" ht="15" hidden="false" customHeight="false" outlineLevel="0" collapsed="false">
      <c r="A572" s="29"/>
      <c r="B572" s="30"/>
      <c r="C572" s="30"/>
      <c r="D572" s="31"/>
      <c r="E572" s="32" t="str">
        <f aca="false">IF(B572="","",IFERROR(INDEX(Kategorien!$B$5:$B$37,MATCH(B572,Kategorien!$A$5:$A$37,0)),"unbekannte Kategorie"))</f>
        <v/>
      </c>
    </row>
    <row r="573" customFormat="false" ht="15" hidden="false" customHeight="false" outlineLevel="0" collapsed="false">
      <c r="A573" s="29"/>
      <c r="B573" s="30"/>
      <c r="C573" s="30"/>
      <c r="D573" s="31"/>
      <c r="E573" s="32" t="str">
        <f aca="false">IF(B573="","",IFERROR(INDEX(Kategorien!$B$5:$B$37,MATCH(B573,Kategorien!$A$5:$A$37,0)),"unbekannte Kategorie"))</f>
        <v/>
      </c>
    </row>
    <row r="574" customFormat="false" ht="15" hidden="false" customHeight="false" outlineLevel="0" collapsed="false">
      <c r="A574" s="29"/>
      <c r="B574" s="30"/>
      <c r="C574" s="30"/>
      <c r="D574" s="31"/>
      <c r="E574" s="32" t="str">
        <f aca="false">IF(B574="","",IFERROR(INDEX(Kategorien!$B$5:$B$37,MATCH(B574,Kategorien!$A$5:$A$37,0)),"unbekannte Kategorie"))</f>
        <v/>
      </c>
    </row>
    <row r="575" customFormat="false" ht="15" hidden="false" customHeight="false" outlineLevel="0" collapsed="false">
      <c r="A575" s="29"/>
      <c r="B575" s="30"/>
      <c r="C575" s="30"/>
      <c r="D575" s="31"/>
      <c r="E575" s="32" t="str">
        <f aca="false">IF(B575="","",IFERROR(INDEX(Kategorien!$B$5:$B$37,MATCH(B575,Kategorien!$A$5:$A$37,0)),"unbekannte Kategorie"))</f>
        <v/>
      </c>
    </row>
    <row r="576" customFormat="false" ht="15" hidden="false" customHeight="false" outlineLevel="0" collapsed="false">
      <c r="A576" s="29"/>
      <c r="B576" s="30"/>
      <c r="C576" s="30"/>
      <c r="D576" s="31"/>
      <c r="E576" s="32" t="str">
        <f aca="false">IF(B576="","",IFERROR(INDEX(Kategorien!$B$5:$B$37,MATCH(B576,Kategorien!$A$5:$A$37,0)),"unbekannte Kategorie"))</f>
        <v/>
      </c>
    </row>
    <row r="577" customFormat="false" ht="15" hidden="false" customHeight="false" outlineLevel="0" collapsed="false">
      <c r="A577" s="29"/>
      <c r="B577" s="30"/>
      <c r="C577" s="30"/>
      <c r="D577" s="31"/>
      <c r="E577" s="32" t="str">
        <f aca="false">IF(B577="","",IFERROR(INDEX(Kategorien!$B$5:$B$37,MATCH(B577,Kategorien!$A$5:$A$37,0)),"unbekannte Kategorie"))</f>
        <v/>
      </c>
    </row>
    <row r="578" customFormat="false" ht="15" hidden="false" customHeight="false" outlineLevel="0" collapsed="false">
      <c r="A578" s="29"/>
      <c r="B578" s="30"/>
      <c r="C578" s="30"/>
      <c r="D578" s="31"/>
      <c r="E578" s="32" t="str">
        <f aca="false">IF(B578="","",IFERROR(INDEX(Kategorien!$B$5:$B$37,MATCH(B578,Kategorien!$A$5:$A$37,0)),"unbekannte Kategorie"))</f>
        <v/>
      </c>
    </row>
    <row r="579" customFormat="false" ht="15" hidden="false" customHeight="false" outlineLevel="0" collapsed="false">
      <c r="A579" s="29"/>
      <c r="B579" s="30"/>
      <c r="C579" s="30"/>
      <c r="D579" s="31"/>
      <c r="E579" s="32" t="str">
        <f aca="false">IF(B579="","",IFERROR(INDEX(Kategorien!$B$5:$B$37,MATCH(B579,Kategorien!$A$5:$A$37,0)),"unbekannte Kategorie"))</f>
        <v/>
      </c>
    </row>
    <row r="580" customFormat="false" ht="15" hidden="false" customHeight="false" outlineLevel="0" collapsed="false">
      <c r="A580" s="29"/>
      <c r="B580" s="30"/>
      <c r="C580" s="30"/>
      <c r="D580" s="31"/>
      <c r="E580" s="32" t="str">
        <f aca="false">IF(B580="","",IFERROR(INDEX(Kategorien!$B$5:$B$37,MATCH(B580,Kategorien!$A$5:$A$37,0)),"unbekannte Kategorie"))</f>
        <v/>
      </c>
    </row>
    <row r="581" customFormat="false" ht="15" hidden="false" customHeight="false" outlineLevel="0" collapsed="false">
      <c r="A581" s="29"/>
      <c r="B581" s="30"/>
      <c r="C581" s="30"/>
      <c r="D581" s="31"/>
      <c r="E581" s="32" t="str">
        <f aca="false">IF(B581="","",IFERROR(INDEX(Kategorien!$B$5:$B$37,MATCH(B581,Kategorien!$A$5:$A$37,0)),"unbekannte Kategorie"))</f>
        <v/>
      </c>
    </row>
    <row r="582" customFormat="false" ht="15" hidden="false" customHeight="false" outlineLevel="0" collapsed="false">
      <c r="A582" s="29"/>
      <c r="B582" s="30"/>
      <c r="C582" s="30"/>
      <c r="D582" s="31"/>
      <c r="E582" s="32" t="str">
        <f aca="false">IF(B582="","",IFERROR(INDEX(Kategorien!$B$5:$B$37,MATCH(B582,Kategorien!$A$5:$A$37,0)),"unbekannte Kategorie"))</f>
        <v/>
      </c>
    </row>
    <row r="583" customFormat="false" ht="15" hidden="false" customHeight="false" outlineLevel="0" collapsed="false">
      <c r="A583" s="29"/>
      <c r="B583" s="30"/>
      <c r="C583" s="30"/>
      <c r="D583" s="31"/>
      <c r="E583" s="32" t="str">
        <f aca="false">IF(B583="","",IFERROR(INDEX(Kategorien!$B$5:$B$37,MATCH(B583,Kategorien!$A$5:$A$37,0)),"unbekannte Kategorie"))</f>
        <v/>
      </c>
    </row>
    <row r="584" customFormat="false" ht="15" hidden="false" customHeight="false" outlineLevel="0" collapsed="false">
      <c r="A584" s="29"/>
      <c r="B584" s="30"/>
      <c r="C584" s="30"/>
      <c r="D584" s="31"/>
      <c r="E584" s="32" t="str">
        <f aca="false">IF(B584="","",IFERROR(INDEX(Kategorien!$B$5:$B$37,MATCH(B584,Kategorien!$A$5:$A$37,0)),"unbekannte Kategorie"))</f>
        <v/>
      </c>
    </row>
    <row r="585" customFormat="false" ht="15" hidden="false" customHeight="false" outlineLevel="0" collapsed="false">
      <c r="A585" s="29"/>
      <c r="B585" s="30"/>
      <c r="C585" s="30"/>
      <c r="D585" s="31"/>
      <c r="E585" s="32" t="str">
        <f aca="false">IF(B585="","",IFERROR(INDEX(Kategorien!$B$5:$B$37,MATCH(B585,Kategorien!$A$5:$A$37,0)),"unbekannte Kategorie"))</f>
        <v/>
      </c>
    </row>
    <row r="586" customFormat="false" ht="15" hidden="false" customHeight="false" outlineLevel="0" collapsed="false">
      <c r="A586" s="29"/>
      <c r="B586" s="30"/>
      <c r="C586" s="30"/>
      <c r="D586" s="31"/>
      <c r="E586" s="32" t="str">
        <f aca="false">IF(B586="","",IFERROR(INDEX(Kategorien!$B$5:$B$37,MATCH(B586,Kategorien!$A$5:$A$37,0)),"unbekannte Kategorie"))</f>
        <v/>
      </c>
    </row>
    <row r="587" customFormat="false" ht="15" hidden="false" customHeight="false" outlineLevel="0" collapsed="false">
      <c r="A587" s="29"/>
      <c r="B587" s="30"/>
      <c r="C587" s="30"/>
      <c r="D587" s="31"/>
      <c r="E587" s="32" t="str">
        <f aca="false">IF(B587="","",IFERROR(INDEX(Kategorien!$B$5:$B$37,MATCH(B587,Kategorien!$A$5:$A$37,0)),"unbekannte Kategorie"))</f>
        <v/>
      </c>
    </row>
    <row r="588" customFormat="false" ht="15" hidden="false" customHeight="false" outlineLevel="0" collapsed="false">
      <c r="A588" s="29"/>
      <c r="B588" s="30"/>
      <c r="C588" s="30"/>
      <c r="D588" s="31"/>
      <c r="E588" s="32" t="str">
        <f aca="false">IF(B588="","",IFERROR(INDEX(Kategorien!$B$5:$B$37,MATCH(B588,Kategorien!$A$5:$A$37,0)),"unbekannte Kategorie"))</f>
        <v/>
      </c>
    </row>
    <row r="589" customFormat="false" ht="15" hidden="false" customHeight="false" outlineLevel="0" collapsed="false">
      <c r="A589" s="29"/>
      <c r="B589" s="30"/>
      <c r="C589" s="30"/>
      <c r="D589" s="31"/>
      <c r="E589" s="32" t="str">
        <f aca="false">IF(B589="","",IFERROR(INDEX(Kategorien!$B$5:$B$37,MATCH(B589,Kategorien!$A$5:$A$37,0)),"unbekannte Kategorie"))</f>
        <v/>
      </c>
    </row>
    <row r="590" customFormat="false" ht="15" hidden="false" customHeight="false" outlineLevel="0" collapsed="false">
      <c r="A590" s="29"/>
      <c r="B590" s="30"/>
      <c r="C590" s="30"/>
      <c r="D590" s="31"/>
      <c r="E590" s="32" t="str">
        <f aca="false">IF(B590="","",IFERROR(INDEX(Kategorien!$B$5:$B$37,MATCH(B590,Kategorien!$A$5:$A$37,0)),"unbekannte Kategorie"))</f>
        <v/>
      </c>
    </row>
    <row r="591" customFormat="false" ht="15" hidden="false" customHeight="false" outlineLevel="0" collapsed="false">
      <c r="A591" s="29"/>
      <c r="B591" s="30"/>
      <c r="C591" s="30"/>
      <c r="D591" s="31"/>
      <c r="E591" s="32" t="str">
        <f aca="false">IF(B591="","",IFERROR(INDEX(Kategorien!$B$5:$B$37,MATCH(B591,Kategorien!$A$5:$A$37,0)),"unbekannte Kategorie"))</f>
        <v/>
      </c>
    </row>
    <row r="592" customFormat="false" ht="15" hidden="false" customHeight="false" outlineLevel="0" collapsed="false">
      <c r="A592" s="29"/>
      <c r="B592" s="30"/>
      <c r="C592" s="30"/>
      <c r="D592" s="31"/>
      <c r="E592" s="32" t="str">
        <f aca="false">IF(B592="","",IFERROR(INDEX(Kategorien!$B$5:$B$37,MATCH(B592,Kategorien!$A$5:$A$37,0)),"unbekannte Kategorie"))</f>
        <v/>
      </c>
    </row>
    <row r="593" customFormat="false" ht="15" hidden="false" customHeight="false" outlineLevel="0" collapsed="false">
      <c r="A593" s="29"/>
      <c r="B593" s="30"/>
      <c r="C593" s="30"/>
      <c r="D593" s="31"/>
      <c r="E593" s="32" t="str">
        <f aca="false">IF(B593="","",IFERROR(INDEX(Kategorien!$B$5:$B$37,MATCH(B593,Kategorien!$A$5:$A$37,0)),"unbekannte Kategorie"))</f>
        <v/>
      </c>
    </row>
    <row r="594" customFormat="false" ht="15" hidden="false" customHeight="false" outlineLevel="0" collapsed="false">
      <c r="A594" s="29"/>
      <c r="B594" s="30"/>
      <c r="C594" s="30"/>
      <c r="D594" s="31"/>
      <c r="E594" s="32" t="str">
        <f aca="false">IF(B594="","",IFERROR(INDEX(Kategorien!$B$5:$B$37,MATCH(B594,Kategorien!$A$5:$A$37,0)),"unbekannte Kategorie"))</f>
        <v/>
      </c>
    </row>
    <row r="595" customFormat="false" ht="15" hidden="false" customHeight="false" outlineLevel="0" collapsed="false">
      <c r="A595" s="29"/>
      <c r="B595" s="30"/>
      <c r="C595" s="30"/>
      <c r="D595" s="31"/>
      <c r="E595" s="32" t="str">
        <f aca="false">IF(B595="","",IFERROR(INDEX(Kategorien!$B$5:$B$37,MATCH(B595,Kategorien!$A$5:$A$37,0)),"unbekannte Kategorie"))</f>
        <v/>
      </c>
    </row>
    <row r="596" customFormat="false" ht="15" hidden="false" customHeight="false" outlineLevel="0" collapsed="false">
      <c r="A596" s="29"/>
      <c r="B596" s="30"/>
      <c r="C596" s="30"/>
      <c r="D596" s="31"/>
      <c r="E596" s="32" t="str">
        <f aca="false">IF(B596="","",IFERROR(INDEX(Kategorien!$B$5:$B$37,MATCH(B596,Kategorien!$A$5:$A$37,0)),"unbekannte Kategorie"))</f>
        <v/>
      </c>
    </row>
    <row r="597" customFormat="false" ht="15" hidden="false" customHeight="false" outlineLevel="0" collapsed="false">
      <c r="A597" s="29"/>
      <c r="B597" s="30"/>
      <c r="C597" s="30"/>
      <c r="D597" s="31"/>
      <c r="E597" s="32" t="str">
        <f aca="false">IF(B597="","",IFERROR(INDEX(Kategorien!$B$5:$B$37,MATCH(B597,Kategorien!$A$5:$A$37,0)),"unbekannte Kategorie"))</f>
        <v/>
      </c>
    </row>
    <row r="598" customFormat="false" ht="15" hidden="false" customHeight="false" outlineLevel="0" collapsed="false">
      <c r="A598" s="29"/>
      <c r="B598" s="30"/>
      <c r="C598" s="30"/>
      <c r="D598" s="31"/>
      <c r="E598" s="32" t="str">
        <f aca="false">IF(B598="","",IFERROR(INDEX(Kategorien!$B$5:$B$37,MATCH(B598,Kategorien!$A$5:$A$37,0)),"unbekannte Kategorie"))</f>
        <v/>
      </c>
    </row>
    <row r="599" customFormat="false" ht="15" hidden="false" customHeight="false" outlineLevel="0" collapsed="false">
      <c r="A599" s="29"/>
      <c r="B599" s="30"/>
      <c r="C599" s="30"/>
      <c r="D599" s="31"/>
      <c r="E599" s="32" t="str">
        <f aca="false">IF(B599="","",IFERROR(INDEX(Kategorien!$B$5:$B$37,MATCH(B599,Kategorien!$A$5:$A$37,0)),"unbekannte Kategorie"))</f>
        <v/>
      </c>
    </row>
    <row r="600" customFormat="false" ht="15" hidden="false" customHeight="false" outlineLevel="0" collapsed="false">
      <c r="A600" s="29"/>
      <c r="B600" s="30"/>
      <c r="C600" s="30"/>
      <c r="D600" s="31"/>
      <c r="E600" s="32" t="str">
        <f aca="false">IF(B600="","",IFERROR(INDEX(Kategorien!$B$5:$B$37,MATCH(B600,Kategorien!$A$5:$A$37,0)),"unbekannte Kategorie"))</f>
        <v/>
      </c>
    </row>
    <row r="601" customFormat="false" ht="15" hidden="false" customHeight="false" outlineLevel="0" collapsed="false">
      <c r="A601" s="29"/>
      <c r="B601" s="30"/>
      <c r="C601" s="30"/>
      <c r="D601" s="31"/>
      <c r="E601" s="32" t="str">
        <f aca="false">IF(B601="","",IFERROR(INDEX(Kategorien!$B$5:$B$37,MATCH(B601,Kategorien!$A$5:$A$37,0)),"unbekannte Kategorie"))</f>
        <v/>
      </c>
    </row>
    <row r="602" customFormat="false" ht="15" hidden="false" customHeight="false" outlineLevel="0" collapsed="false">
      <c r="A602" s="29"/>
      <c r="B602" s="30"/>
      <c r="C602" s="30"/>
      <c r="D602" s="31"/>
      <c r="E602" s="32" t="str">
        <f aca="false">IF(B602="","",IFERROR(INDEX(Kategorien!$B$5:$B$37,MATCH(B602,Kategorien!$A$5:$A$37,0)),"unbekannte Kategorie"))</f>
        <v/>
      </c>
    </row>
    <row r="603" customFormat="false" ht="15" hidden="false" customHeight="false" outlineLevel="0" collapsed="false">
      <c r="A603" s="29"/>
      <c r="B603" s="30"/>
      <c r="C603" s="30"/>
      <c r="D603" s="31"/>
      <c r="E603" s="32" t="str">
        <f aca="false">IF(B603="","",IFERROR(INDEX(Kategorien!$B$5:$B$37,MATCH(B603,Kategorien!$A$5:$A$37,0)),"unbekannte Kategorie"))</f>
        <v/>
      </c>
    </row>
    <row r="604" customFormat="false" ht="15" hidden="false" customHeight="false" outlineLevel="0" collapsed="false">
      <c r="A604" s="29"/>
      <c r="B604" s="30"/>
      <c r="C604" s="30"/>
      <c r="D604" s="31"/>
      <c r="E604" s="32" t="str">
        <f aca="false">IF(B604="","",IFERROR(INDEX(Kategorien!$B$5:$B$37,MATCH(B604,Kategorien!$A$5:$A$37,0)),"unbekannte Kategorie"))</f>
        <v/>
      </c>
    </row>
    <row r="605" customFormat="false" ht="15" hidden="false" customHeight="false" outlineLevel="0" collapsed="false">
      <c r="A605" s="29"/>
      <c r="B605" s="30"/>
      <c r="C605" s="30"/>
      <c r="D605" s="31"/>
      <c r="E605" s="32" t="str">
        <f aca="false">IF(B605="","",IFERROR(INDEX(Kategorien!$B$5:$B$37,MATCH(B605,Kategorien!$A$5:$A$37,0)),"unbekannte Kategorie"))</f>
        <v/>
      </c>
    </row>
    <row r="606" customFormat="false" ht="15" hidden="false" customHeight="false" outlineLevel="0" collapsed="false">
      <c r="A606" s="29"/>
      <c r="B606" s="30"/>
      <c r="C606" s="30"/>
      <c r="D606" s="31"/>
      <c r="E606" s="32" t="str">
        <f aca="false">IF(B606="","",IFERROR(INDEX(Kategorien!$B$5:$B$37,MATCH(B606,Kategorien!$A$5:$A$37,0)),"unbekannte Kategorie"))</f>
        <v/>
      </c>
    </row>
    <row r="607" customFormat="false" ht="15" hidden="false" customHeight="false" outlineLevel="0" collapsed="false">
      <c r="A607" s="29"/>
      <c r="B607" s="30"/>
      <c r="C607" s="30"/>
      <c r="D607" s="31"/>
      <c r="E607" s="32" t="str">
        <f aca="false">IF(B607="","",IFERROR(INDEX(Kategorien!$B$5:$B$37,MATCH(B607,Kategorien!$A$5:$A$37,0)),"unbekannte Kategorie"))</f>
        <v/>
      </c>
    </row>
    <row r="608" customFormat="false" ht="15" hidden="false" customHeight="false" outlineLevel="0" collapsed="false">
      <c r="A608" s="29"/>
      <c r="B608" s="30"/>
      <c r="C608" s="30"/>
      <c r="D608" s="31"/>
      <c r="E608" s="32" t="str">
        <f aca="false">IF(B608="","",IFERROR(INDEX(Kategorien!$B$5:$B$37,MATCH(B608,Kategorien!$A$5:$A$37,0)),"unbekannte Kategorie"))</f>
        <v/>
      </c>
    </row>
    <row r="609" customFormat="false" ht="15" hidden="false" customHeight="false" outlineLevel="0" collapsed="false">
      <c r="A609" s="29"/>
      <c r="B609" s="30"/>
      <c r="C609" s="30"/>
      <c r="D609" s="31"/>
      <c r="E609" s="32" t="str">
        <f aca="false">IF(B609="","",IFERROR(INDEX(Kategorien!$B$5:$B$37,MATCH(B609,Kategorien!$A$5:$A$37,0)),"unbekannte Kategorie"))</f>
        <v/>
      </c>
    </row>
    <row r="610" customFormat="false" ht="15" hidden="false" customHeight="false" outlineLevel="0" collapsed="false">
      <c r="A610" s="29"/>
      <c r="B610" s="30"/>
      <c r="C610" s="30"/>
      <c r="D610" s="31"/>
      <c r="E610" s="32" t="str">
        <f aca="false">IF(B610="","",IFERROR(INDEX(Kategorien!$B$5:$B$37,MATCH(B610,Kategorien!$A$5:$A$37,0)),"unbekannte Kategorie"))</f>
        <v/>
      </c>
    </row>
    <row r="611" customFormat="false" ht="15" hidden="false" customHeight="false" outlineLevel="0" collapsed="false">
      <c r="A611" s="29"/>
      <c r="B611" s="30"/>
      <c r="C611" s="30"/>
      <c r="D611" s="31"/>
      <c r="E611" s="32" t="str">
        <f aca="false">IF(B611="","",IFERROR(INDEX(Kategorien!$B$5:$B$37,MATCH(B611,Kategorien!$A$5:$A$37,0)),"unbekannte Kategorie"))</f>
        <v/>
      </c>
    </row>
    <row r="612" customFormat="false" ht="15" hidden="false" customHeight="false" outlineLevel="0" collapsed="false">
      <c r="A612" s="29"/>
      <c r="B612" s="30"/>
      <c r="C612" s="30"/>
      <c r="D612" s="31"/>
      <c r="E612" s="32" t="str">
        <f aca="false">IF(B612="","",IFERROR(INDEX(Kategorien!$B$5:$B$37,MATCH(B612,Kategorien!$A$5:$A$37,0)),"unbekannte Kategorie"))</f>
        <v/>
      </c>
    </row>
    <row r="613" customFormat="false" ht="15" hidden="false" customHeight="false" outlineLevel="0" collapsed="false">
      <c r="A613" s="29"/>
      <c r="B613" s="30"/>
      <c r="C613" s="30"/>
      <c r="D613" s="31"/>
      <c r="E613" s="32" t="str">
        <f aca="false">IF(B613="","",IFERROR(INDEX(Kategorien!$B$5:$B$37,MATCH(B613,Kategorien!$A$5:$A$37,0)),"unbekannte Kategorie"))</f>
        <v/>
      </c>
    </row>
    <row r="614" customFormat="false" ht="15" hidden="false" customHeight="false" outlineLevel="0" collapsed="false">
      <c r="A614" s="29"/>
      <c r="B614" s="30"/>
      <c r="C614" s="30"/>
      <c r="D614" s="31"/>
      <c r="E614" s="32" t="str">
        <f aca="false">IF(B614="","",IFERROR(INDEX(Kategorien!$B$5:$B$37,MATCH(B614,Kategorien!$A$5:$A$37,0)),"unbekannte Kategorie"))</f>
        <v/>
      </c>
    </row>
    <row r="615" customFormat="false" ht="15" hidden="false" customHeight="false" outlineLevel="0" collapsed="false">
      <c r="A615" s="29"/>
      <c r="B615" s="30"/>
      <c r="C615" s="30"/>
      <c r="D615" s="31"/>
      <c r="E615" s="32" t="str">
        <f aca="false">IF(B615="","",IFERROR(INDEX(Kategorien!$B$5:$B$37,MATCH(B615,Kategorien!$A$5:$A$37,0)),"unbekannte Kategorie"))</f>
        <v/>
      </c>
    </row>
    <row r="616" customFormat="false" ht="15" hidden="false" customHeight="false" outlineLevel="0" collapsed="false">
      <c r="A616" s="29"/>
      <c r="B616" s="30"/>
      <c r="C616" s="30"/>
      <c r="D616" s="31"/>
      <c r="E616" s="32" t="str">
        <f aca="false">IF(B616="","",IFERROR(INDEX(Kategorien!$B$5:$B$37,MATCH(B616,Kategorien!$A$5:$A$37,0)),"unbekannte Kategorie"))</f>
        <v/>
      </c>
    </row>
    <row r="617" customFormat="false" ht="15" hidden="false" customHeight="false" outlineLevel="0" collapsed="false">
      <c r="A617" s="29"/>
      <c r="B617" s="30"/>
      <c r="C617" s="30"/>
      <c r="D617" s="31"/>
      <c r="E617" s="32" t="str">
        <f aca="false">IF(B617="","",IFERROR(INDEX(Kategorien!$B$5:$B$37,MATCH(B617,Kategorien!$A$5:$A$37,0)),"unbekannte Kategorie"))</f>
        <v/>
      </c>
    </row>
    <row r="618" customFormat="false" ht="15" hidden="false" customHeight="false" outlineLevel="0" collapsed="false">
      <c r="A618" s="29"/>
      <c r="B618" s="30"/>
      <c r="C618" s="30"/>
      <c r="D618" s="31"/>
      <c r="E618" s="32" t="str">
        <f aca="false">IF(B618="","",IFERROR(INDEX(Kategorien!$B$5:$B$37,MATCH(B618,Kategorien!$A$5:$A$37,0)),"unbekannte Kategorie"))</f>
        <v/>
      </c>
    </row>
    <row r="619" customFormat="false" ht="15" hidden="false" customHeight="false" outlineLevel="0" collapsed="false">
      <c r="A619" s="29"/>
      <c r="B619" s="30"/>
      <c r="C619" s="30"/>
      <c r="D619" s="31"/>
      <c r="E619" s="32" t="str">
        <f aca="false">IF(B619="","",IFERROR(INDEX(Kategorien!$B$5:$B$37,MATCH(B619,Kategorien!$A$5:$A$37,0)),"unbekannte Kategorie"))</f>
        <v/>
      </c>
    </row>
    <row r="620" customFormat="false" ht="15" hidden="false" customHeight="false" outlineLevel="0" collapsed="false">
      <c r="A620" s="29"/>
      <c r="B620" s="30"/>
      <c r="C620" s="30"/>
      <c r="D620" s="31"/>
      <c r="E620" s="32" t="str">
        <f aca="false">IF(B620="","",IFERROR(INDEX(Kategorien!$B$5:$B$37,MATCH(B620,Kategorien!$A$5:$A$37,0)),"unbekannte Kategorie"))</f>
        <v/>
      </c>
    </row>
    <row r="621" customFormat="false" ht="15" hidden="false" customHeight="false" outlineLevel="0" collapsed="false">
      <c r="A621" s="29"/>
      <c r="B621" s="30"/>
      <c r="C621" s="30"/>
      <c r="D621" s="31"/>
      <c r="E621" s="32" t="str">
        <f aca="false">IF(B621="","",IFERROR(INDEX(Kategorien!$B$5:$B$37,MATCH(B621,Kategorien!$A$5:$A$37,0)),"unbekannte Kategorie"))</f>
        <v/>
      </c>
    </row>
    <row r="622" customFormat="false" ht="15" hidden="false" customHeight="false" outlineLevel="0" collapsed="false">
      <c r="A622" s="29"/>
      <c r="B622" s="30"/>
      <c r="C622" s="30"/>
      <c r="D622" s="31"/>
      <c r="E622" s="32" t="str">
        <f aca="false">IF(B622="","",IFERROR(INDEX(Kategorien!$B$5:$B$37,MATCH(B622,Kategorien!$A$5:$A$37,0)),"unbekannte Kategorie"))</f>
        <v/>
      </c>
    </row>
    <row r="623" customFormat="false" ht="15" hidden="false" customHeight="false" outlineLevel="0" collapsed="false">
      <c r="A623" s="29"/>
      <c r="B623" s="30"/>
      <c r="C623" s="30"/>
      <c r="D623" s="31"/>
      <c r="E623" s="32" t="str">
        <f aca="false">IF(B623="","",IFERROR(INDEX(Kategorien!$B$5:$B$37,MATCH(B623,Kategorien!$A$5:$A$37,0)),"unbekannte Kategorie"))</f>
        <v/>
      </c>
    </row>
    <row r="624" customFormat="false" ht="15" hidden="false" customHeight="false" outlineLevel="0" collapsed="false">
      <c r="A624" s="29"/>
      <c r="B624" s="30"/>
      <c r="C624" s="30"/>
      <c r="D624" s="31"/>
      <c r="E624" s="32" t="str">
        <f aca="false">IF(B624="","",IFERROR(INDEX(Kategorien!$B$5:$B$37,MATCH(B624,Kategorien!$A$5:$A$37,0)),"unbekannte Kategorie"))</f>
        <v/>
      </c>
    </row>
    <row r="625" customFormat="false" ht="15" hidden="false" customHeight="false" outlineLevel="0" collapsed="false">
      <c r="A625" s="29"/>
      <c r="B625" s="30"/>
      <c r="C625" s="30"/>
      <c r="D625" s="31"/>
      <c r="E625" s="32" t="str">
        <f aca="false">IF(B625="","",IFERROR(INDEX(Kategorien!$B$5:$B$37,MATCH(B625,Kategorien!$A$5:$A$37,0)),"unbekannte Kategorie"))</f>
        <v/>
      </c>
    </row>
    <row r="626" customFormat="false" ht="15" hidden="false" customHeight="false" outlineLevel="0" collapsed="false">
      <c r="A626" s="29"/>
      <c r="B626" s="30"/>
      <c r="C626" s="30"/>
      <c r="D626" s="31"/>
      <c r="E626" s="32" t="str">
        <f aca="false">IF(B626="","",IFERROR(INDEX(Kategorien!$B$5:$B$37,MATCH(B626,Kategorien!$A$5:$A$37,0)),"unbekannte Kategorie"))</f>
        <v/>
      </c>
    </row>
    <row r="627" customFormat="false" ht="15" hidden="false" customHeight="false" outlineLevel="0" collapsed="false">
      <c r="A627" s="29"/>
      <c r="B627" s="30"/>
      <c r="C627" s="30"/>
      <c r="D627" s="31"/>
      <c r="E627" s="32" t="str">
        <f aca="false">IF(B627="","",IFERROR(INDEX(Kategorien!$B$5:$B$37,MATCH(B627,Kategorien!$A$5:$A$37,0)),"unbekannte Kategorie"))</f>
        <v/>
      </c>
    </row>
    <row r="628" customFormat="false" ht="15" hidden="false" customHeight="false" outlineLevel="0" collapsed="false">
      <c r="A628" s="29"/>
      <c r="B628" s="30"/>
      <c r="C628" s="30"/>
      <c r="D628" s="31"/>
      <c r="E628" s="32" t="str">
        <f aca="false">IF(B628="","",IFERROR(INDEX(Kategorien!$B$5:$B$37,MATCH(B628,Kategorien!$A$5:$A$37,0)),"unbekannte Kategorie"))</f>
        <v/>
      </c>
    </row>
    <row r="629" customFormat="false" ht="15" hidden="false" customHeight="false" outlineLevel="0" collapsed="false">
      <c r="A629" s="29"/>
      <c r="B629" s="30"/>
      <c r="C629" s="30"/>
      <c r="D629" s="31"/>
      <c r="E629" s="32" t="str">
        <f aca="false">IF(B629="","",IFERROR(INDEX(Kategorien!$B$5:$B$37,MATCH(B629,Kategorien!$A$5:$A$37,0)),"unbekannte Kategorie"))</f>
        <v/>
      </c>
    </row>
    <row r="630" customFormat="false" ht="15" hidden="false" customHeight="false" outlineLevel="0" collapsed="false">
      <c r="A630" s="29"/>
      <c r="B630" s="30"/>
      <c r="C630" s="30"/>
      <c r="D630" s="31"/>
      <c r="E630" s="32" t="str">
        <f aca="false">IF(B630="","",IFERROR(INDEX(Kategorien!$B$5:$B$37,MATCH(B630,Kategorien!$A$5:$A$37,0)),"unbekannte Kategorie"))</f>
        <v/>
      </c>
    </row>
    <row r="631" customFormat="false" ht="15" hidden="false" customHeight="false" outlineLevel="0" collapsed="false">
      <c r="A631" s="29"/>
      <c r="B631" s="30"/>
      <c r="C631" s="30"/>
      <c r="D631" s="31"/>
      <c r="E631" s="32" t="str">
        <f aca="false">IF(B631="","",IFERROR(INDEX(Kategorien!$B$5:$B$37,MATCH(B631,Kategorien!$A$5:$A$37,0)),"unbekannte Kategorie"))</f>
        <v/>
      </c>
    </row>
    <row r="632" customFormat="false" ht="15" hidden="false" customHeight="false" outlineLevel="0" collapsed="false">
      <c r="A632" s="29"/>
      <c r="B632" s="30"/>
      <c r="C632" s="30"/>
      <c r="D632" s="31"/>
      <c r="E632" s="32" t="str">
        <f aca="false">IF(B632="","",IFERROR(INDEX(Kategorien!$B$5:$B$37,MATCH(B632,Kategorien!$A$5:$A$37,0)),"unbekannte Kategorie"))</f>
        <v/>
      </c>
    </row>
    <row r="633" customFormat="false" ht="15" hidden="false" customHeight="false" outlineLevel="0" collapsed="false">
      <c r="A633" s="29"/>
      <c r="B633" s="30"/>
      <c r="C633" s="30"/>
      <c r="D633" s="31"/>
      <c r="E633" s="32" t="str">
        <f aca="false">IF(B633="","",IFERROR(INDEX(Kategorien!$B$5:$B$37,MATCH(B633,Kategorien!$A$5:$A$37,0)),"unbekannte Kategorie"))</f>
        <v/>
      </c>
    </row>
    <row r="634" customFormat="false" ht="15" hidden="false" customHeight="false" outlineLevel="0" collapsed="false">
      <c r="A634" s="29"/>
      <c r="B634" s="30"/>
      <c r="C634" s="30"/>
      <c r="D634" s="31"/>
      <c r="E634" s="32" t="str">
        <f aca="false">IF(B634="","",IFERROR(INDEX(Kategorien!$B$5:$B$37,MATCH(B634,Kategorien!$A$5:$A$37,0)),"unbekannte Kategorie"))</f>
        <v/>
      </c>
    </row>
    <row r="635" customFormat="false" ht="15" hidden="false" customHeight="false" outlineLevel="0" collapsed="false">
      <c r="A635" s="29"/>
      <c r="B635" s="30"/>
      <c r="C635" s="30"/>
      <c r="D635" s="31"/>
      <c r="E635" s="32" t="str">
        <f aca="false">IF(B635="","",IFERROR(INDEX(Kategorien!$B$5:$B$37,MATCH(B635,Kategorien!$A$5:$A$37,0)),"unbekannte Kategorie"))</f>
        <v/>
      </c>
    </row>
    <row r="636" customFormat="false" ht="15" hidden="false" customHeight="false" outlineLevel="0" collapsed="false">
      <c r="A636" s="29"/>
      <c r="B636" s="30"/>
      <c r="C636" s="30"/>
      <c r="D636" s="31"/>
      <c r="E636" s="32" t="str">
        <f aca="false">IF(B636="","",IFERROR(INDEX(Kategorien!$B$5:$B$37,MATCH(B636,Kategorien!$A$5:$A$37,0)),"unbekannte Kategorie"))</f>
        <v/>
      </c>
    </row>
    <row r="637" customFormat="false" ht="15" hidden="false" customHeight="false" outlineLevel="0" collapsed="false">
      <c r="A637" s="29"/>
      <c r="B637" s="30"/>
      <c r="C637" s="30"/>
      <c r="D637" s="31"/>
      <c r="E637" s="32" t="str">
        <f aca="false">IF(B637="","",IFERROR(INDEX(Kategorien!$B$5:$B$37,MATCH(B637,Kategorien!$A$5:$A$37,0)),"unbekannte Kategorie"))</f>
        <v/>
      </c>
    </row>
    <row r="638" customFormat="false" ht="15" hidden="false" customHeight="false" outlineLevel="0" collapsed="false">
      <c r="A638" s="29"/>
      <c r="B638" s="30"/>
      <c r="C638" s="30"/>
      <c r="D638" s="31"/>
      <c r="E638" s="32" t="str">
        <f aca="false">IF(B638="","",IFERROR(INDEX(Kategorien!$B$5:$B$37,MATCH(B638,Kategorien!$A$5:$A$37,0)),"unbekannte Kategorie"))</f>
        <v/>
      </c>
    </row>
    <row r="639" customFormat="false" ht="15" hidden="false" customHeight="false" outlineLevel="0" collapsed="false">
      <c r="A639" s="29"/>
      <c r="B639" s="30"/>
      <c r="C639" s="30"/>
      <c r="D639" s="31"/>
      <c r="E639" s="32" t="str">
        <f aca="false">IF(B639="","",IFERROR(INDEX(Kategorien!$B$5:$B$37,MATCH(B639,Kategorien!$A$5:$A$37,0)),"unbekannte Kategorie"))</f>
        <v/>
      </c>
    </row>
    <row r="640" customFormat="false" ht="15" hidden="false" customHeight="false" outlineLevel="0" collapsed="false">
      <c r="A640" s="29"/>
      <c r="B640" s="30"/>
      <c r="C640" s="30"/>
      <c r="D640" s="31"/>
      <c r="E640" s="32" t="str">
        <f aca="false">IF(B640="","",IFERROR(INDEX(Kategorien!$B$5:$B$37,MATCH(B640,Kategorien!$A$5:$A$37,0)),"unbekannte Kategorie"))</f>
        <v/>
      </c>
    </row>
    <row r="641" customFormat="false" ht="15" hidden="false" customHeight="false" outlineLevel="0" collapsed="false">
      <c r="A641" s="29"/>
      <c r="B641" s="30"/>
      <c r="C641" s="30"/>
      <c r="D641" s="31"/>
      <c r="E641" s="32" t="str">
        <f aca="false">IF(B641="","",IFERROR(INDEX(Kategorien!$B$5:$B$37,MATCH(B641,Kategorien!$A$5:$A$37,0)),"unbekannte Kategorie"))</f>
        <v/>
      </c>
    </row>
    <row r="642" customFormat="false" ht="15" hidden="false" customHeight="false" outlineLevel="0" collapsed="false">
      <c r="A642" s="29"/>
      <c r="B642" s="30"/>
      <c r="C642" s="30"/>
      <c r="D642" s="31"/>
      <c r="E642" s="32" t="str">
        <f aca="false">IF(B642="","",IFERROR(INDEX(Kategorien!$B$5:$B$37,MATCH(B642,Kategorien!$A$5:$A$37,0)),"unbekannte Kategorie"))</f>
        <v/>
      </c>
    </row>
    <row r="643" customFormat="false" ht="15" hidden="false" customHeight="false" outlineLevel="0" collapsed="false">
      <c r="A643" s="29"/>
      <c r="B643" s="30"/>
      <c r="C643" s="30"/>
      <c r="D643" s="31"/>
      <c r="E643" s="32" t="str">
        <f aca="false">IF(B643="","",IFERROR(INDEX(Kategorien!$B$5:$B$37,MATCH(B643,Kategorien!$A$5:$A$37,0)),"unbekannte Kategorie"))</f>
        <v/>
      </c>
    </row>
    <row r="644" customFormat="false" ht="15" hidden="false" customHeight="false" outlineLevel="0" collapsed="false">
      <c r="A644" s="29"/>
      <c r="B644" s="30"/>
      <c r="C644" s="30"/>
      <c r="D644" s="31"/>
      <c r="E644" s="32" t="str">
        <f aca="false">IF(B644="","",IFERROR(INDEX(Kategorien!$B$5:$B$37,MATCH(B644,Kategorien!$A$5:$A$37,0)),"unbekannte Kategorie"))</f>
        <v/>
      </c>
    </row>
    <row r="645" customFormat="false" ht="15" hidden="false" customHeight="false" outlineLevel="0" collapsed="false">
      <c r="A645" s="29"/>
      <c r="B645" s="30"/>
      <c r="C645" s="30"/>
      <c r="D645" s="31"/>
      <c r="E645" s="32" t="str">
        <f aca="false">IF(B645="","",IFERROR(INDEX(Kategorien!$B$5:$B$37,MATCH(B645,Kategorien!$A$5:$A$37,0)),"unbekannte Kategorie"))</f>
        <v/>
      </c>
    </row>
    <row r="646" customFormat="false" ht="15" hidden="false" customHeight="false" outlineLevel="0" collapsed="false">
      <c r="A646" s="29"/>
      <c r="B646" s="30"/>
      <c r="C646" s="30"/>
      <c r="D646" s="31"/>
      <c r="E646" s="32" t="str">
        <f aca="false">IF(B646="","",IFERROR(INDEX(Kategorien!$B$5:$B$37,MATCH(B646,Kategorien!$A$5:$A$37,0)),"unbekannte Kategorie"))</f>
        <v/>
      </c>
    </row>
    <row r="647" customFormat="false" ht="15" hidden="false" customHeight="false" outlineLevel="0" collapsed="false">
      <c r="A647" s="29"/>
      <c r="B647" s="30"/>
      <c r="C647" s="30"/>
      <c r="D647" s="31"/>
      <c r="E647" s="32" t="str">
        <f aca="false">IF(B647="","",IFERROR(INDEX(Kategorien!$B$5:$B$37,MATCH(B647,Kategorien!$A$5:$A$37,0)),"unbekannte Kategorie"))</f>
        <v/>
      </c>
    </row>
    <row r="648" customFormat="false" ht="15" hidden="false" customHeight="false" outlineLevel="0" collapsed="false">
      <c r="A648" s="29"/>
      <c r="B648" s="30"/>
      <c r="C648" s="30"/>
      <c r="D648" s="31"/>
      <c r="E648" s="32" t="str">
        <f aca="false">IF(B648="","",IFERROR(INDEX(Kategorien!$B$5:$B$37,MATCH(B648,Kategorien!$A$5:$A$37,0)),"unbekannte Kategorie"))</f>
        <v/>
      </c>
    </row>
    <row r="649" customFormat="false" ht="15" hidden="false" customHeight="false" outlineLevel="0" collapsed="false">
      <c r="A649" s="29"/>
      <c r="B649" s="30"/>
      <c r="C649" s="30"/>
      <c r="D649" s="31"/>
      <c r="E649" s="32" t="str">
        <f aca="false">IF(B649="","",IFERROR(INDEX(Kategorien!$B$5:$B$37,MATCH(B649,Kategorien!$A$5:$A$37,0)),"unbekannte Kategorie"))</f>
        <v/>
      </c>
    </row>
    <row r="650" customFormat="false" ht="15" hidden="false" customHeight="false" outlineLevel="0" collapsed="false">
      <c r="A650" s="29"/>
      <c r="B650" s="30"/>
      <c r="C650" s="30"/>
      <c r="D650" s="31"/>
      <c r="E650" s="32" t="str">
        <f aca="false">IF(B650="","",IFERROR(INDEX(Kategorien!$B$5:$B$37,MATCH(B650,Kategorien!$A$5:$A$37,0)),"unbekannte Kategorie"))</f>
        <v/>
      </c>
    </row>
    <row r="651" customFormat="false" ht="15" hidden="false" customHeight="false" outlineLevel="0" collapsed="false">
      <c r="A651" s="29"/>
      <c r="B651" s="30"/>
      <c r="C651" s="30"/>
      <c r="D651" s="31"/>
      <c r="E651" s="32" t="str">
        <f aca="false">IF(B651="","",IFERROR(INDEX(Kategorien!$B$5:$B$37,MATCH(B651,Kategorien!$A$5:$A$37,0)),"unbekannte Kategorie"))</f>
        <v/>
      </c>
    </row>
    <row r="652" customFormat="false" ht="15" hidden="false" customHeight="false" outlineLevel="0" collapsed="false">
      <c r="A652" s="29"/>
      <c r="B652" s="30"/>
      <c r="C652" s="30"/>
      <c r="D652" s="31"/>
      <c r="E652" s="32" t="str">
        <f aca="false">IF(B652="","",IFERROR(INDEX(Kategorien!$B$5:$B$37,MATCH(B652,Kategorien!$A$5:$A$37,0)),"unbekannte Kategorie"))</f>
        <v/>
      </c>
    </row>
    <row r="653" customFormat="false" ht="15" hidden="false" customHeight="false" outlineLevel="0" collapsed="false">
      <c r="A653" s="29"/>
      <c r="B653" s="30"/>
      <c r="C653" s="30"/>
      <c r="D653" s="31"/>
      <c r="E653" s="32" t="str">
        <f aca="false">IF(B653="","",IFERROR(INDEX(Kategorien!$B$5:$B$37,MATCH(B653,Kategorien!$A$5:$A$37,0)),"unbekannte Kategorie"))</f>
        <v/>
      </c>
    </row>
    <row r="654" customFormat="false" ht="15" hidden="false" customHeight="false" outlineLevel="0" collapsed="false">
      <c r="A654" s="29"/>
      <c r="B654" s="30"/>
      <c r="C654" s="30"/>
      <c r="D654" s="31"/>
      <c r="E654" s="32" t="str">
        <f aca="false">IF(B654="","",IFERROR(INDEX(Kategorien!$B$5:$B$37,MATCH(B654,Kategorien!$A$5:$A$37,0)),"unbekannte Kategorie"))</f>
        <v/>
      </c>
    </row>
    <row r="655" customFormat="false" ht="15" hidden="false" customHeight="false" outlineLevel="0" collapsed="false">
      <c r="A655" s="29"/>
      <c r="B655" s="30"/>
      <c r="C655" s="30"/>
      <c r="D655" s="31"/>
      <c r="E655" s="32" t="str">
        <f aca="false">IF(B655="","",IFERROR(INDEX(Kategorien!$B$5:$B$37,MATCH(B655,Kategorien!$A$5:$A$37,0)),"unbekannte Kategorie"))</f>
        <v/>
      </c>
    </row>
    <row r="656" customFormat="false" ht="15" hidden="false" customHeight="false" outlineLevel="0" collapsed="false">
      <c r="A656" s="29"/>
      <c r="B656" s="30"/>
      <c r="C656" s="30"/>
      <c r="D656" s="31"/>
      <c r="E656" s="32" t="str">
        <f aca="false">IF(B656="","",IFERROR(INDEX(Kategorien!$B$5:$B$37,MATCH(B656,Kategorien!$A$5:$A$37,0)),"unbekannte Kategorie"))</f>
        <v/>
      </c>
    </row>
    <row r="657" customFormat="false" ht="15" hidden="false" customHeight="false" outlineLevel="0" collapsed="false">
      <c r="A657" s="29"/>
      <c r="B657" s="30"/>
      <c r="C657" s="30"/>
      <c r="D657" s="31"/>
      <c r="E657" s="32" t="str">
        <f aca="false">IF(B657="","",IFERROR(INDEX(Kategorien!$B$5:$B$37,MATCH(B657,Kategorien!$A$5:$A$37,0)),"unbekannte Kategorie"))</f>
        <v/>
      </c>
    </row>
    <row r="658" customFormat="false" ht="15" hidden="false" customHeight="false" outlineLevel="0" collapsed="false">
      <c r="A658" s="29"/>
      <c r="B658" s="30"/>
      <c r="C658" s="30"/>
      <c r="D658" s="31"/>
      <c r="E658" s="32" t="str">
        <f aca="false">IF(B658="","",IFERROR(INDEX(Kategorien!$B$5:$B$37,MATCH(B658,Kategorien!$A$5:$A$37,0)),"unbekannte Kategorie"))</f>
        <v/>
      </c>
    </row>
    <row r="659" customFormat="false" ht="15" hidden="false" customHeight="false" outlineLevel="0" collapsed="false">
      <c r="A659" s="29"/>
      <c r="B659" s="30"/>
      <c r="C659" s="30"/>
      <c r="D659" s="31"/>
      <c r="E659" s="32" t="str">
        <f aca="false">IF(B659="","",IFERROR(INDEX(Kategorien!$B$5:$B$37,MATCH(B659,Kategorien!$A$5:$A$37,0)),"unbekannte Kategorie"))</f>
        <v/>
      </c>
    </row>
    <row r="660" customFormat="false" ht="15" hidden="false" customHeight="false" outlineLevel="0" collapsed="false">
      <c r="A660" s="29"/>
      <c r="B660" s="30"/>
      <c r="C660" s="30"/>
      <c r="D660" s="31"/>
      <c r="E660" s="32" t="str">
        <f aca="false">IF(B660="","",IFERROR(INDEX(Kategorien!$B$5:$B$37,MATCH(B660,Kategorien!$A$5:$A$37,0)),"unbekannte Kategorie"))</f>
        <v/>
      </c>
    </row>
    <row r="661" customFormat="false" ht="15" hidden="false" customHeight="false" outlineLevel="0" collapsed="false">
      <c r="A661" s="29"/>
      <c r="B661" s="30"/>
      <c r="C661" s="30"/>
      <c r="D661" s="31"/>
      <c r="E661" s="32" t="str">
        <f aca="false">IF(B661="","",IFERROR(INDEX(Kategorien!$B$5:$B$37,MATCH(B661,Kategorien!$A$5:$A$37,0)),"unbekannte Kategorie"))</f>
        <v/>
      </c>
    </row>
    <row r="662" customFormat="false" ht="15" hidden="false" customHeight="false" outlineLevel="0" collapsed="false">
      <c r="A662" s="29"/>
      <c r="B662" s="30"/>
      <c r="C662" s="30"/>
      <c r="D662" s="31"/>
      <c r="E662" s="32" t="str">
        <f aca="false">IF(B662="","",IFERROR(INDEX(Kategorien!$B$5:$B$37,MATCH(B662,Kategorien!$A$5:$A$37,0)),"unbekannte Kategorie"))</f>
        <v/>
      </c>
    </row>
    <row r="663" customFormat="false" ht="15" hidden="false" customHeight="false" outlineLevel="0" collapsed="false">
      <c r="A663" s="29"/>
      <c r="B663" s="30"/>
      <c r="C663" s="30"/>
      <c r="D663" s="31"/>
      <c r="E663" s="32" t="str">
        <f aca="false">IF(B663="","",IFERROR(INDEX(Kategorien!$B$5:$B$37,MATCH(B663,Kategorien!$A$5:$A$37,0)),"unbekannte Kategorie"))</f>
        <v/>
      </c>
    </row>
    <row r="664" customFormat="false" ht="15" hidden="false" customHeight="false" outlineLevel="0" collapsed="false">
      <c r="A664" s="29"/>
      <c r="B664" s="30"/>
      <c r="C664" s="30"/>
      <c r="D664" s="31"/>
      <c r="E664" s="32" t="str">
        <f aca="false">IF(B664="","",IFERROR(INDEX(Kategorien!$B$5:$B$37,MATCH(B664,Kategorien!$A$5:$A$37,0)),"unbekannte Kategorie"))</f>
        <v/>
      </c>
    </row>
    <row r="665" customFormat="false" ht="15" hidden="false" customHeight="false" outlineLevel="0" collapsed="false">
      <c r="A665" s="29"/>
      <c r="B665" s="30"/>
      <c r="C665" s="30"/>
      <c r="D665" s="31"/>
      <c r="E665" s="32" t="str">
        <f aca="false">IF(B665="","",IFERROR(INDEX(Kategorien!$B$5:$B$37,MATCH(B665,Kategorien!$A$5:$A$37,0)),"unbekannte Kategorie"))</f>
        <v/>
      </c>
    </row>
    <row r="666" customFormat="false" ht="15" hidden="false" customHeight="false" outlineLevel="0" collapsed="false">
      <c r="A666" s="29"/>
      <c r="B666" s="30"/>
      <c r="C666" s="30"/>
      <c r="D666" s="31"/>
      <c r="E666" s="32" t="str">
        <f aca="false">IF(B666="","",IFERROR(INDEX(Kategorien!$B$5:$B$37,MATCH(B666,Kategorien!$A$5:$A$37,0)),"unbekannte Kategorie"))</f>
        <v/>
      </c>
    </row>
    <row r="667" customFormat="false" ht="15" hidden="false" customHeight="false" outlineLevel="0" collapsed="false">
      <c r="A667" s="29"/>
      <c r="B667" s="30"/>
      <c r="C667" s="30"/>
      <c r="D667" s="31"/>
      <c r="E667" s="32" t="str">
        <f aca="false">IF(B667="","",IFERROR(INDEX(Kategorien!$B$5:$B$37,MATCH(B667,Kategorien!$A$5:$A$37,0)),"unbekannte Kategorie"))</f>
        <v/>
      </c>
    </row>
    <row r="668" customFormat="false" ht="15" hidden="false" customHeight="false" outlineLevel="0" collapsed="false">
      <c r="A668" s="29"/>
      <c r="B668" s="30"/>
      <c r="C668" s="30"/>
      <c r="D668" s="31"/>
      <c r="E668" s="32" t="str">
        <f aca="false">IF(B668="","",IFERROR(INDEX(Kategorien!$B$5:$B$37,MATCH(B668,Kategorien!$A$5:$A$37,0)),"unbekannte Kategorie"))</f>
        <v/>
      </c>
    </row>
    <row r="669" customFormat="false" ht="15" hidden="false" customHeight="false" outlineLevel="0" collapsed="false">
      <c r="A669" s="29"/>
      <c r="B669" s="30"/>
      <c r="C669" s="30"/>
      <c r="D669" s="31"/>
      <c r="E669" s="32" t="str">
        <f aca="false">IF(B669="","",IFERROR(INDEX(Kategorien!$B$5:$B$37,MATCH(B669,Kategorien!$A$5:$A$37,0)),"unbekannte Kategorie"))</f>
        <v/>
      </c>
    </row>
    <row r="670" customFormat="false" ht="15" hidden="false" customHeight="false" outlineLevel="0" collapsed="false">
      <c r="A670" s="29"/>
      <c r="B670" s="30"/>
      <c r="C670" s="30"/>
      <c r="D670" s="31"/>
      <c r="E670" s="32" t="str">
        <f aca="false">IF(B670="","",IFERROR(INDEX(Kategorien!$B$5:$B$37,MATCH(B670,Kategorien!$A$5:$A$37,0)),"unbekannte Kategorie"))</f>
        <v/>
      </c>
    </row>
    <row r="671" customFormat="false" ht="15" hidden="false" customHeight="false" outlineLevel="0" collapsed="false">
      <c r="A671" s="29"/>
      <c r="B671" s="30"/>
      <c r="C671" s="30"/>
      <c r="D671" s="31"/>
      <c r="E671" s="32" t="str">
        <f aca="false">IF(B671="","",IFERROR(INDEX(Kategorien!$B$5:$B$37,MATCH(B671,Kategorien!$A$5:$A$37,0)),"unbekannte Kategorie"))</f>
        <v/>
      </c>
    </row>
    <row r="672" customFormat="false" ht="15" hidden="false" customHeight="false" outlineLevel="0" collapsed="false">
      <c r="A672" s="29"/>
      <c r="B672" s="30"/>
      <c r="C672" s="30"/>
      <c r="D672" s="31"/>
      <c r="E672" s="32" t="str">
        <f aca="false">IF(B672="","",IFERROR(INDEX(Kategorien!$B$5:$B$37,MATCH(B672,Kategorien!$A$5:$A$37,0)),"unbekannte Kategorie"))</f>
        <v/>
      </c>
    </row>
    <row r="673" customFormat="false" ht="15" hidden="false" customHeight="false" outlineLevel="0" collapsed="false">
      <c r="A673" s="29"/>
      <c r="B673" s="30"/>
      <c r="C673" s="30"/>
      <c r="D673" s="31"/>
      <c r="E673" s="32" t="str">
        <f aca="false">IF(B673="","",IFERROR(INDEX(Kategorien!$B$5:$B$37,MATCH(B673,Kategorien!$A$5:$A$37,0)),"unbekannte Kategorie"))</f>
        <v/>
      </c>
    </row>
    <row r="674" customFormat="false" ht="15" hidden="false" customHeight="false" outlineLevel="0" collapsed="false">
      <c r="A674" s="29"/>
      <c r="B674" s="30"/>
      <c r="C674" s="30"/>
      <c r="D674" s="31"/>
      <c r="E674" s="32" t="str">
        <f aca="false">IF(B674="","",IFERROR(INDEX(Kategorien!$B$5:$B$37,MATCH(B674,Kategorien!$A$5:$A$37,0)),"unbekannte Kategorie"))</f>
        <v/>
      </c>
    </row>
    <row r="675" customFormat="false" ht="15" hidden="false" customHeight="false" outlineLevel="0" collapsed="false">
      <c r="A675" s="29"/>
      <c r="B675" s="30"/>
      <c r="C675" s="30"/>
      <c r="D675" s="31"/>
      <c r="E675" s="32" t="str">
        <f aca="false">IF(B675="","",IFERROR(INDEX(Kategorien!$B$5:$B$37,MATCH(B675,Kategorien!$A$5:$A$37,0)),"unbekannte Kategorie"))</f>
        <v/>
      </c>
    </row>
    <row r="676" customFormat="false" ht="15" hidden="false" customHeight="false" outlineLevel="0" collapsed="false">
      <c r="A676" s="29"/>
      <c r="B676" s="30"/>
      <c r="C676" s="30"/>
      <c r="D676" s="31"/>
      <c r="E676" s="32" t="str">
        <f aca="false">IF(B676="","",IFERROR(INDEX(Kategorien!$B$5:$B$37,MATCH(B676,Kategorien!$A$5:$A$37,0)),"unbekannte Kategorie"))</f>
        <v/>
      </c>
    </row>
    <row r="677" customFormat="false" ht="15" hidden="false" customHeight="false" outlineLevel="0" collapsed="false">
      <c r="A677" s="29"/>
      <c r="B677" s="30"/>
      <c r="C677" s="30"/>
      <c r="D677" s="31"/>
      <c r="E677" s="32" t="str">
        <f aca="false">IF(B677="","",IFERROR(INDEX(Kategorien!$B$5:$B$37,MATCH(B677,Kategorien!$A$5:$A$37,0)),"unbekannte Kategorie"))</f>
        <v/>
      </c>
    </row>
    <row r="678" customFormat="false" ht="15" hidden="false" customHeight="false" outlineLevel="0" collapsed="false">
      <c r="A678" s="29"/>
      <c r="B678" s="30"/>
      <c r="C678" s="30"/>
      <c r="D678" s="31"/>
      <c r="E678" s="32" t="str">
        <f aca="false">IF(B678="","",IFERROR(INDEX(Kategorien!$B$5:$B$37,MATCH(B678,Kategorien!$A$5:$A$37,0)),"unbekannte Kategorie"))</f>
        <v/>
      </c>
    </row>
    <row r="679" customFormat="false" ht="15" hidden="false" customHeight="false" outlineLevel="0" collapsed="false">
      <c r="A679" s="29"/>
      <c r="B679" s="30"/>
      <c r="C679" s="30"/>
      <c r="D679" s="31"/>
      <c r="E679" s="32" t="str">
        <f aca="false">IF(B679="","",IFERROR(INDEX(Kategorien!$B$5:$B$37,MATCH(B679,Kategorien!$A$5:$A$37,0)),"unbekannte Kategorie"))</f>
        <v/>
      </c>
    </row>
    <row r="680" customFormat="false" ht="15" hidden="false" customHeight="false" outlineLevel="0" collapsed="false">
      <c r="A680" s="29"/>
      <c r="B680" s="30"/>
      <c r="C680" s="30"/>
      <c r="D680" s="31"/>
      <c r="E680" s="32" t="str">
        <f aca="false">IF(B680="","",IFERROR(INDEX(Kategorien!$B$5:$B$37,MATCH(B680,Kategorien!$A$5:$A$37,0)),"unbekannte Kategorie"))</f>
        <v/>
      </c>
    </row>
    <row r="681" customFormat="false" ht="15" hidden="false" customHeight="false" outlineLevel="0" collapsed="false">
      <c r="A681" s="29"/>
      <c r="B681" s="30"/>
      <c r="C681" s="30"/>
      <c r="D681" s="31"/>
      <c r="E681" s="32" t="str">
        <f aca="false">IF(B681="","",IFERROR(INDEX(Kategorien!$B$5:$B$37,MATCH(B681,Kategorien!$A$5:$A$37,0)),"unbekannte Kategorie"))</f>
        <v/>
      </c>
    </row>
    <row r="682" customFormat="false" ht="15" hidden="false" customHeight="false" outlineLevel="0" collapsed="false">
      <c r="A682" s="29"/>
      <c r="B682" s="30"/>
      <c r="C682" s="30"/>
      <c r="D682" s="31"/>
      <c r="E682" s="32" t="str">
        <f aca="false">IF(B682="","",IFERROR(INDEX(Kategorien!$B$5:$B$37,MATCH(B682,Kategorien!$A$5:$A$37,0)),"unbekannte Kategorie"))</f>
        <v/>
      </c>
    </row>
    <row r="683" customFormat="false" ht="15" hidden="false" customHeight="false" outlineLevel="0" collapsed="false">
      <c r="A683" s="29"/>
      <c r="B683" s="30"/>
      <c r="C683" s="30"/>
      <c r="D683" s="31"/>
      <c r="E683" s="32" t="str">
        <f aca="false">IF(B683="","",IFERROR(INDEX(Kategorien!$B$5:$B$37,MATCH(B683,Kategorien!$A$5:$A$37,0)),"unbekannte Kategorie"))</f>
        <v/>
      </c>
    </row>
    <row r="684" customFormat="false" ht="15" hidden="false" customHeight="false" outlineLevel="0" collapsed="false">
      <c r="A684" s="29"/>
      <c r="B684" s="30"/>
      <c r="C684" s="30"/>
      <c r="D684" s="31"/>
      <c r="E684" s="32" t="str">
        <f aca="false">IF(B684="","",IFERROR(INDEX(Kategorien!$B$5:$B$37,MATCH(B684,Kategorien!$A$5:$A$37,0)),"unbekannte Kategorie"))</f>
        <v/>
      </c>
    </row>
    <row r="685" customFormat="false" ht="15" hidden="false" customHeight="false" outlineLevel="0" collapsed="false">
      <c r="A685" s="29"/>
      <c r="B685" s="30"/>
      <c r="C685" s="30"/>
      <c r="D685" s="31"/>
      <c r="E685" s="32" t="str">
        <f aca="false">IF(B685="","",IFERROR(INDEX(Kategorien!$B$5:$B$37,MATCH(B685,Kategorien!$A$5:$A$37,0)),"unbekannte Kategorie"))</f>
        <v/>
      </c>
    </row>
    <row r="686" customFormat="false" ht="15" hidden="false" customHeight="false" outlineLevel="0" collapsed="false">
      <c r="A686" s="29"/>
      <c r="B686" s="30"/>
      <c r="C686" s="30"/>
      <c r="D686" s="31"/>
      <c r="E686" s="32" t="str">
        <f aca="false">IF(B686="","",IFERROR(INDEX(Kategorien!$B$5:$B$37,MATCH(B686,Kategorien!$A$5:$A$37,0)),"unbekannte Kategorie"))</f>
        <v/>
      </c>
    </row>
    <row r="687" customFormat="false" ht="15" hidden="false" customHeight="false" outlineLevel="0" collapsed="false">
      <c r="A687" s="29"/>
      <c r="B687" s="30"/>
      <c r="C687" s="30"/>
      <c r="D687" s="31"/>
      <c r="E687" s="32" t="str">
        <f aca="false">IF(B687="","",IFERROR(INDEX(Kategorien!$B$5:$B$37,MATCH(B687,Kategorien!$A$5:$A$37,0)),"unbekannte Kategorie"))</f>
        <v/>
      </c>
    </row>
    <row r="688" customFormat="false" ht="15" hidden="false" customHeight="false" outlineLevel="0" collapsed="false">
      <c r="A688" s="29"/>
      <c r="B688" s="30"/>
      <c r="C688" s="30"/>
      <c r="D688" s="31"/>
      <c r="E688" s="32" t="str">
        <f aca="false">IF(B688="","",IFERROR(INDEX(Kategorien!$B$5:$B$37,MATCH(B688,Kategorien!$A$5:$A$37,0)),"unbekannte Kategorie"))</f>
        <v/>
      </c>
    </row>
    <row r="689" customFormat="false" ht="15" hidden="false" customHeight="false" outlineLevel="0" collapsed="false">
      <c r="A689" s="29"/>
      <c r="B689" s="30"/>
      <c r="C689" s="30"/>
      <c r="D689" s="31"/>
      <c r="E689" s="32" t="str">
        <f aca="false">IF(B689="","",IFERROR(INDEX(Kategorien!$B$5:$B$37,MATCH(B689,Kategorien!$A$5:$A$37,0)),"unbekannte Kategorie"))</f>
        <v/>
      </c>
    </row>
    <row r="690" customFormat="false" ht="15" hidden="false" customHeight="false" outlineLevel="0" collapsed="false">
      <c r="A690" s="29"/>
      <c r="B690" s="30"/>
      <c r="C690" s="30"/>
      <c r="D690" s="31"/>
      <c r="E690" s="32" t="str">
        <f aca="false">IF(B690="","",IFERROR(INDEX(Kategorien!$B$5:$B$37,MATCH(B690,Kategorien!$A$5:$A$37,0)),"unbekannte Kategorie"))</f>
        <v/>
      </c>
    </row>
    <row r="691" customFormat="false" ht="15" hidden="false" customHeight="false" outlineLevel="0" collapsed="false">
      <c r="A691" s="29"/>
      <c r="B691" s="30"/>
      <c r="C691" s="30"/>
      <c r="D691" s="31"/>
      <c r="E691" s="32" t="str">
        <f aca="false">IF(B691="","",IFERROR(INDEX(Kategorien!$B$5:$B$37,MATCH(B691,Kategorien!$A$5:$A$37,0)),"unbekannte Kategorie"))</f>
        <v/>
      </c>
    </row>
    <row r="692" customFormat="false" ht="15" hidden="false" customHeight="false" outlineLevel="0" collapsed="false">
      <c r="A692" s="29"/>
      <c r="B692" s="30"/>
      <c r="C692" s="30"/>
      <c r="D692" s="31"/>
      <c r="E692" s="32" t="str">
        <f aca="false">IF(B692="","",IFERROR(INDEX(Kategorien!$B$5:$B$37,MATCH(B692,Kategorien!$A$5:$A$37,0)),"unbekannte Kategorie"))</f>
        <v/>
      </c>
    </row>
    <row r="693" customFormat="false" ht="15" hidden="false" customHeight="false" outlineLevel="0" collapsed="false">
      <c r="A693" s="29"/>
      <c r="B693" s="30"/>
      <c r="C693" s="30"/>
      <c r="D693" s="31"/>
      <c r="E693" s="32" t="str">
        <f aca="false">IF(B693="","",IFERROR(INDEX(Kategorien!$B$5:$B$37,MATCH(B693,Kategorien!$A$5:$A$37,0)),"unbekannte Kategorie"))</f>
        <v/>
      </c>
    </row>
    <row r="694" customFormat="false" ht="15" hidden="false" customHeight="false" outlineLevel="0" collapsed="false">
      <c r="A694" s="29"/>
      <c r="B694" s="30"/>
      <c r="C694" s="30"/>
      <c r="D694" s="31"/>
      <c r="E694" s="32" t="str">
        <f aca="false">IF(B694="","",IFERROR(INDEX(Kategorien!$B$5:$B$37,MATCH(B694,Kategorien!$A$5:$A$37,0)),"unbekannte Kategorie"))</f>
        <v/>
      </c>
    </row>
    <row r="695" customFormat="false" ht="15" hidden="false" customHeight="false" outlineLevel="0" collapsed="false">
      <c r="A695" s="29"/>
      <c r="B695" s="30"/>
      <c r="C695" s="30"/>
      <c r="D695" s="31"/>
      <c r="E695" s="32" t="str">
        <f aca="false">IF(B695="","",IFERROR(INDEX(Kategorien!$B$5:$B$37,MATCH(B695,Kategorien!$A$5:$A$37,0)),"unbekannte Kategorie"))</f>
        <v/>
      </c>
    </row>
    <row r="696" customFormat="false" ht="15" hidden="false" customHeight="false" outlineLevel="0" collapsed="false">
      <c r="A696" s="29"/>
      <c r="B696" s="30"/>
      <c r="C696" s="30"/>
      <c r="D696" s="31"/>
      <c r="E696" s="32" t="str">
        <f aca="false">IF(B696="","",IFERROR(INDEX(Kategorien!$B$5:$B$37,MATCH(B696,Kategorien!$A$5:$A$37,0)),"unbekannte Kategorie"))</f>
        <v/>
      </c>
    </row>
    <row r="697" customFormat="false" ht="15" hidden="false" customHeight="false" outlineLevel="0" collapsed="false">
      <c r="A697" s="29"/>
      <c r="B697" s="30"/>
      <c r="C697" s="30"/>
      <c r="D697" s="31"/>
      <c r="E697" s="32" t="str">
        <f aca="false">IF(B697="","",IFERROR(INDEX(Kategorien!$B$5:$B$37,MATCH(B697,Kategorien!$A$5:$A$37,0)),"unbekannte Kategorie"))</f>
        <v/>
      </c>
    </row>
    <row r="698" customFormat="false" ht="15" hidden="false" customHeight="false" outlineLevel="0" collapsed="false">
      <c r="A698" s="29"/>
      <c r="B698" s="30"/>
      <c r="C698" s="30"/>
      <c r="D698" s="31"/>
      <c r="E698" s="32" t="str">
        <f aca="false">IF(B698="","",IFERROR(INDEX(Kategorien!$B$5:$B$37,MATCH(B698,Kategorien!$A$5:$A$37,0)),"unbekannte Kategorie"))</f>
        <v/>
      </c>
    </row>
    <row r="699" customFormat="false" ht="15" hidden="false" customHeight="false" outlineLevel="0" collapsed="false">
      <c r="A699" s="29"/>
      <c r="B699" s="30"/>
      <c r="C699" s="30"/>
      <c r="D699" s="31"/>
      <c r="E699" s="32" t="str">
        <f aca="false">IF(B699="","",IFERROR(INDEX(Kategorien!$B$5:$B$37,MATCH(B699,Kategorien!$A$5:$A$37,0)),"unbekannte Kategorie"))</f>
        <v/>
      </c>
    </row>
    <row r="700" customFormat="false" ht="15" hidden="false" customHeight="false" outlineLevel="0" collapsed="false">
      <c r="A700" s="29"/>
      <c r="B700" s="30"/>
      <c r="C700" s="30"/>
      <c r="D700" s="31"/>
      <c r="E700" s="32" t="str">
        <f aca="false">IF(B700="","",IFERROR(INDEX(Kategorien!$B$5:$B$37,MATCH(B700,Kategorien!$A$5:$A$37,0)),"unbekannte Kategorie"))</f>
        <v/>
      </c>
    </row>
    <row r="701" customFormat="false" ht="15" hidden="false" customHeight="false" outlineLevel="0" collapsed="false">
      <c r="A701" s="29"/>
      <c r="B701" s="30"/>
      <c r="C701" s="30"/>
      <c r="D701" s="31"/>
      <c r="E701" s="32" t="str">
        <f aca="false">IF(B701="","",IFERROR(INDEX(Kategorien!$B$5:$B$37,MATCH(B701,Kategorien!$A$5:$A$37,0)),"unbekannte Kategorie"))</f>
        <v/>
      </c>
    </row>
    <row r="702" customFormat="false" ht="15" hidden="false" customHeight="false" outlineLevel="0" collapsed="false">
      <c r="A702" s="29"/>
      <c r="B702" s="30"/>
      <c r="C702" s="30"/>
      <c r="D702" s="31"/>
      <c r="E702" s="32" t="str">
        <f aca="false">IF(B702="","",IFERROR(INDEX(Kategorien!$B$5:$B$37,MATCH(B702,Kategorien!$A$5:$A$37,0)),"unbekannte Kategorie"))</f>
        <v/>
      </c>
    </row>
    <row r="703" customFormat="false" ht="15" hidden="false" customHeight="false" outlineLevel="0" collapsed="false">
      <c r="A703" s="29"/>
      <c r="B703" s="30"/>
      <c r="C703" s="30"/>
      <c r="D703" s="31"/>
      <c r="E703" s="32" t="str">
        <f aca="false">IF(B703="","",IFERROR(INDEX(Kategorien!$B$5:$B$37,MATCH(B703,Kategorien!$A$5:$A$37,0)),"unbekannte Kategorie"))</f>
        <v/>
      </c>
    </row>
    <row r="704" customFormat="false" ht="15" hidden="false" customHeight="false" outlineLevel="0" collapsed="false">
      <c r="A704" s="29"/>
      <c r="B704" s="30"/>
      <c r="C704" s="30"/>
      <c r="D704" s="31"/>
      <c r="E704" s="32" t="str">
        <f aca="false">IF(B704="","",IFERROR(INDEX(Kategorien!$B$5:$B$37,MATCH(B704,Kategorien!$A$5:$A$37,0)),"unbekannte Kategorie"))</f>
        <v/>
      </c>
    </row>
    <row r="705" customFormat="false" ht="15" hidden="false" customHeight="false" outlineLevel="0" collapsed="false">
      <c r="A705" s="29"/>
      <c r="B705" s="30"/>
      <c r="C705" s="30"/>
      <c r="D705" s="31"/>
      <c r="E705" s="32" t="str">
        <f aca="false">IF(B705="","",IFERROR(INDEX(Kategorien!$B$5:$B$37,MATCH(B705,Kategorien!$A$5:$A$37,0)),"unbekannte Kategorie"))</f>
        <v/>
      </c>
    </row>
    <row r="706" customFormat="false" ht="15" hidden="false" customHeight="false" outlineLevel="0" collapsed="false">
      <c r="A706" s="29"/>
      <c r="B706" s="30"/>
      <c r="C706" s="30"/>
      <c r="D706" s="31"/>
      <c r="E706" s="32" t="str">
        <f aca="false">IF(B706="","",IFERROR(INDEX(Kategorien!$B$5:$B$37,MATCH(B706,Kategorien!$A$5:$A$37,0)),"unbekannte Kategorie"))</f>
        <v/>
      </c>
    </row>
    <row r="707" customFormat="false" ht="15" hidden="false" customHeight="false" outlineLevel="0" collapsed="false">
      <c r="A707" s="29"/>
      <c r="B707" s="30"/>
      <c r="C707" s="30"/>
      <c r="D707" s="31"/>
      <c r="E707" s="32" t="str">
        <f aca="false">IF(B707="","",IFERROR(INDEX(Kategorien!$B$5:$B$37,MATCH(B707,Kategorien!$A$5:$A$37,0)),"unbekannte Kategorie"))</f>
        <v/>
      </c>
    </row>
    <row r="708" customFormat="false" ht="15" hidden="false" customHeight="false" outlineLevel="0" collapsed="false">
      <c r="A708" s="29"/>
      <c r="B708" s="30"/>
      <c r="C708" s="30"/>
      <c r="D708" s="31"/>
      <c r="E708" s="32" t="str">
        <f aca="false">IF(B708="","",IFERROR(INDEX(Kategorien!$B$5:$B$37,MATCH(B708,Kategorien!$A$5:$A$37,0)),"unbekannte Kategorie"))</f>
        <v/>
      </c>
    </row>
    <row r="709" customFormat="false" ht="15" hidden="false" customHeight="false" outlineLevel="0" collapsed="false">
      <c r="A709" s="29"/>
      <c r="B709" s="30"/>
      <c r="C709" s="30"/>
      <c r="D709" s="31"/>
      <c r="E709" s="32" t="str">
        <f aca="false">IF(B709="","",IFERROR(INDEX(Kategorien!$B$5:$B$37,MATCH(B709,Kategorien!$A$5:$A$37,0)),"unbekannte Kategorie"))</f>
        <v/>
      </c>
    </row>
    <row r="710" customFormat="false" ht="15" hidden="false" customHeight="false" outlineLevel="0" collapsed="false">
      <c r="A710" s="29"/>
      <c r="B710" s="30"/>
      <c r="C710" s="30"/>
      <c r="D710" s="31"/>
      <c r="E710" s="32" t="str">
        <f aca="false">IF(B710="","",IFERROR(INDEX(Kategorien!$B$5:$B$37,MATCH(B710,Kategorien!$A$5:$A$37,0)),"unbekannte Kategorie"))</f>
        <v/>
      </c>
    </row>
    <row r="711" customFormat="false" ht="15" hidden="false" customHeight="false" outlineLevel="0" collapsed="false">
      <c r="A711" s="29"/>
      <c r="B711" s="30"/>
      <c r="C711" s="30"/>
      <c r="D711" s="31"/>
      <c r="E711" s="32" t="str">
        <f aca="false">IF(B711="","",IFERROR(INDEX(Kategorien!$B$5:$B$37,MATCH(B711,Kategorien!$A$5:$A$37,0)),"unbekannte Kategorie"))</f>
        <v/>
      </c>
    </row>
    <row r="712" customFormat="false" ht="15" hidden="false" customHeight="false" outlineLevel="0" collapsed="false">
      <c r="A712" s="29"/>
      <c r="B712" s="30"/>
      <c r="C712" s="30"/>
      <c r="D712" s="31"/>
      <c r="E712" s="32" t="str">
        <f aca="false">IF(B712="","",IFERROR(INDEX(Kategorien!$B$5:$B$37,MATCH(B712,Kategorien!$A$5:$A$37,0)),"unbekannte Kategorie"))</f>
        <v/>
      </c>
    </row>
    <row r="713" customFormat="false" ht="15" hidden="false" customHeight="false" outlineLevel="0" collapsed="false">
      <c r="A713" s="29"/>
      <c r="B713" s="30"/>
      <c r="C713" s="30"/>
      <c r="D713" s="31"/>
      <c r="E713" s="32" t="str">
        <f aca="false">IF(B713="","",IFERROR(INDEX(Kategorien!$B$5:$B$37,MATCH(B713,Kategorien!$A$5:$A$37,0)),"unbekannte Kategorie"))</f>
        <v/>
      </c>
    </row>
    <row r="714" customFormat="false" ht="15" hidden="false" customHeight="false" outlineLevel="0" collapsed="false">
      <c r="A714" s="29"/>
      <c r="B714" s="30"/>
      <c r="C714" s="30"/>
      <c r="D714" s="31"/>
      <c r="E714" s="32" t="str">
        <f aca="false">IF(B714="","",IFERROR(INDEX(Kategorien!$B$5:$B$37,MATCH(B714,Kategorien!$A$5:$A$37,0)),"unbekannte Kategorie"))</f>
        <v/>
      </c>
    </row>
    <row r="715" customFormat="false" ht="15" hidden="false" customHeight="false" outlineLevel="0" collapsed="false">
      <c r="A715" s="29"/>
      <c r="B715" s="30"/>
      <c r="C715" s="30"/>
      <c r="D715" s="31"/>
      <c r="E715" s="32" t="str">
        <f aca="false">IF(B715="","",IFERROR(INDEX(Kategorien!$B$5:$B$37,MATCH(B715,Kategorien!$A$5:$A$37,0)),"unbekannte Kategorie"))</f>
        <v/>
      </c>
    </row>
    <row r="716" customFormat="false" ht="15" hidden="false" customHeight="false" outlineLevel="0" collapsed="false">
      <c r="A716" s="29"/>
      <c r="B716" s="30"/>
      <c r="C716" s="30"/>
      <c r="D716" s="31"/>
      <c r="E716" s="32" t="str">
        <f aca="false">IF(B716="","",IFERROR(INDEX(Kategorien!$B$5:$B$37,MATCH(B716,Kategorien!$A$5:$A$37,0)),"unbekannte Kategorie"))</f>
        <v/>
      </c>
    </row>
    <row r="717" customFormat="false" ht="15" hidden="false" customHeight="false" outlineLevel="0" collapsed="false">
      <c r="A717" s="29"/>
      <c r="B717" s="30"/>
      <c r="C717" s="30"/>
      <c r="D717" s="31"/>
      <c r="E717" s="32" t="str">
        <f aca="false">IF(B717="","",IFERROR(INDEX(Kategorien!$B$5:$B$37,MATCH(B717,Kategorien!$A$5:$A$37,0)),"unbekannte Kategorie"))</f>
        <v/>
      </c>
    </row>
    <row r="718" customFormat="false" ht="15" hidden="false" customHeight="false" outlineLevel="0" collapsed="false">
      <c r="A718" s="29"/>
      <c r="B718" s="30"/>
      <c r="C718" s="30"/>
      <c r="D718" s="31"/>
      <c r="E718" s="32" t="str">
        <f aca="false">IF(B718="","",IFERROR(INDEX(Kategorien!$B$5:$B$37,MATCH(B718,Kategorien!$A$5:$A$37,0)),"unbekannte Kategorie"))</f>
        <v/>
      </c>
    </row>
    <row r="719" customFormat="false" ht="15" hidden="false" customHeight="false" outlineLevel="0" collapsed="false">
      <c r="A719" s="29"/>
      <c r="B719" s="30"/>
      <c r="C719" s="30"/>
      <c r="D719" s="31"/>
      <c r="E719" s="32" t="str">
        <f aca="false">IF(B719="","",IFERROR(INDEX(Kategorien!$B$5:$B$37,MATCH(B719,Kategorien!$A$5:$A$37,0)),"unbekannte Kategorie"))</f>
        <v/>
      </c>
    </row>
    <row r="720" customFormat="false" ht="15" hidden="false" customHeight="false" outlineLevel="0" collapsed="false">
      <c r="A720" s="29"/>
      <c r="B720" s="30"/>
      <c r="C720" s="30"/>
      <c r="D720" s="31"/>
      <c r="E720" s="32" t="str">
        <f aca="false">IF(B720="","",IFERROR(INDEX(Kategorien!$B$5:$B$37,MATCH(B720,Kategorien!$A$5:$A$37,0)),"unbekannte Kategorie"))</f>
        <v/>
      </c>
    </row>
    <row r="721" customFormat="false" ht="15" hidden="false" customHeight="false" outlineLevel="0" collapsed="false">
      <c r="A721" s="29"/>
      <c r="B721" s="30"/>
      <c r="C721" s="30"/>
      <c r="D721" s="31"/>
      <c r="E721" s="32" t="str">
        <f aca="false">IF(B721="","",IFERROR(INDEX(Kategorien!$B$5:$B$37,MATCH(B721,Kategorien!$A$5:$A$37,0)),"unbekannte Kategorie"))</f>
        <v/>
      </c>
    </row>
    <row r="722" customFormat="false" ht="15" hidden="false" customHeight="false" outlineLevel="0" collapsed="false">
      <c r="A722" s="29"/>
      <c r="B722" s="30"/>
      <c r="C722" s="30"/>
      <c r="D722" s="31"/>
      <c r="E722" s="32" t="str">
        <f aca="false">IF(B722="","",IFERROR(INDEX(Kategorien!$B$5:$B$37,MATCH(B722,Kategorien!$A$5:$A$37,0)),"unbekannte Kategorie"))</f>
        <v/>
      </c>
    </row>
    <row r="723" customFormat="false" ht="15" hidden="false" customHeight="false" outlineLevel="0" collapsed="false">
      <c r="A723" s="29"/>
      <c r="B723" s="30"/>
      <c r="C723" s="30"/>
      <c r="D723" s="31"/>
      <c r="E723" s="32" t="str">
        <f aca="false">IF(B723="","",IFERROR(INDEX(Kategorien!$B$5:$B$37,MATCH(B723,Kategorien!$A$5:$A$37,0)),"unbekannte Kategorie"))</f>
        <v/>
      </c>
    </row>
    <row r="724" customFormat="false" ht="15" hidden="false" customHeight="false" outlineLevel="0" collapsed="false">
      <c r="A724" s="29"/>
      <c r="B724" s="30"/>
      <c r="C724" s="30"/>
      <c r="D724" s="31"/>
      <c r="E724" s="32" t="str">
        <f aca="false">IF(B724="","",IFERROR(INDEX(Kategorien!$B$5:$B$37,MATCH(B724,Kategorien!$A$5:$A$37,0)),"unbekannte Kategorie"))</f>
        <v/>
      </c>
    </row>
    <row r="725" customFormat="false" ht="15" hidden="false" customHeight="false" outlineLevel="0" collapsed="false">
      <c r="A725" s="29"/>
      <c r="B725" s="30"/>
      <c r="C725" s="30"/>
      <c r="D725" s="31"/>
      <c r="E725" s="32" t="str">
        <f aca="false">IF(B725="","",IFERROR(INDEX(Kategorien!$B$5:$B$37,MATCH(B725,Kategorien!$A$5:$A$37,0)),"unbekannte Kategorie"))</f>
        <v/>
      </c>
    </row>
    <row r="726" customFormat="false" ht="15" hidden="false" customHeight="false" outlineLevel="0" collapsed="false">
      <c r="A726" s="29"/>
      <c r="B726" s="30"/>
      <c r="C726" s="30"/>
      <c r="D726" s="31"/>
      <c r="E726" s="32" t="str">
        <f aca="false">IF(B726="","",IFERROR(INDEX(Kategorien!$B$5:$B$37,MATCH(B726,Kategorien!$A$5:$A$37,0)),"unbekannte Kategorie"))</f>
        <v/>
      </c>
    </row>
    <row r="727" customFormat="false" ht="15" hidden="false" customHeight="false" outlineLevel="0" collapsed="false">
      <c r="A727" s="29"/>
      <c r="B727" s="30"/>
      <c r="C727" s="30"/>
      <c r="D727" s="31"/>
      <c r="E727" s="32" t="str">
        <f aca="false">IF(B727="","",IFERROR(INDEX(Kategorien!$B$5:$B$37,MATCH(B727,Kategorien!$A$5:$A$37,0)),"unbekannte Kategorie"))</f>
        <v/>
      </c>
    </row>
    <row r="728" customFormat="false" ht="15" hidden="false" customHeight="false" outlineLevel="0" collapsed="false">
      <c r="A728" s="29"/>
      <c r="B728" s="30"/>
      <c r="C728" s="30"/>
      <c r="D728" s="31"/>
      <c r="E728" s="32" t="str">
        <f aca="false">IF(B728="","",IFERROR(INDEX(Kategorien!$B$5:$B$37,MATCH(B728,Kategorien!$A$5:$A$37,0)),"unbekannte Kategorie"))</f>
        <v/>
      </c>
    </row>
    <row r="729" customFormat="false" ht="15" hidden="false" customHeight="false" outlineLevel="0" collapsed="false">
      <c r="A729" s="29"/>
      <c r="B729" s="30"/>
      <c r="C729" s="30"/>
      <c r="D729" s="31"/>
      <c r="E729" s="32" t="str">
        <f aca="false">IF(B729="","",IFERROR(INDEX(Kategorien!$B$5:$B$37,MATCH(B729,Kategorien!$A$5:$A$37,0)),"unbekannte Kategorie"))</f>
        <v/>
      </c>
    </row>
    <row r="730" customFormat="false" ht="15" hidden="false" customHeight="false" outlineLevel="0" collapsed="false">
      <c r="A730" s="29"/>
      <c r="B730" s="30"/>
      <c r="C730" s="30"/>
      <c r="D730" s="31"/>
      <c r="E730" s="32" t="str">
        <f aca="false">IF(B730="","",IFERROR(INDEX(Kategorien!$B$5:$B$37,MATCH(B730,Kategorien!$A$5:$A$37,0)),"unbekannte Kategorie"))</f>
        <v/>
      </c>
    </row>
    <row r="731" customFormat="false" ht="15" hidden="false" customHeight="false" outlineLevel="0" collapsed="false">
      <c r="A731" s="29"/>
      <c r="B731" s="30"/>
      <c r="C731" s="30"/>
      <c r="D731" s="31"/>
      <c r="E731" s="32" t="str">
        <f aca="false">IF(B731="","",IFERROR(INDEX(Kategorien!$B$5:$B$37,MATCH(B731,Kategorien!$A$5:$A$37,0)),"unbekannte Kategorie"))</f>
        <v/>
      </c>
    </row>
    <row r="732" customFormat="false" ht="15" hidden="false" customHeight="false" outlineLevel="0" collapsed="false">
      <c r="A732" s="29"/>
      <c r="B732" s="30"/>
      <c r="C732" s="30"/>
      <c r="D732" s="31"/>
      <c r="E732" s="32" t="str">
        <f aca="false">IF(B732="","",IFERROR(INDEX(Kategorien!$B$5:$B$37,MATCH(B732,Kategorien!$A$5:$A$37,0)),"unbekannte Kategorie"))</f>
        <v/>
      </c>
    </row>
    <row r="733" customFormat="false" ht="15" hidden="false" customHeight="false" outlineLevel="0" collapsed="false">
      <c r="A733" s="29"/>
      <c r="B733" s="30"/>
      <c r="C733" s="30"/>
      <c r="D733" s="31"/>
      <c r="E733" s="32" t="str">
        <f aca="false">IF(B733="","",IFERROR(INDEX(Kategorien!$B$5:$B$37,MATCH(B733,Kategorien!$A$5:$A$37,0)),"unbekannte Kategorie"))</f>
        <v/>
      </c>
    </row>
    <row r="734" customFormat="false" ht="15" hidden="false" customHeight="false" outlineLevel="0" collapsed="false">
      <c r="A734" s="29"/>
      <c r="B734" s="30"/>
      <c r="C734" s="30"/>
      <c r="D734" s="31"/>
      <c r="E734" s="32" t="str">
        <f aca="false">IF(B734="","",IFERROR(INDEX(Kategorien!$B$5:$B$37,MATCH(B734,Kategorien!$A$5:$A$37,0)),"unbekannte Kategorie"))</f>
        <v/>
      </c>
    </row>
    <row r="735" customFormat="false" ht="15" hidden="false" customHeight="false" outlineLevel="0" collapsed="false">
      <c r="A735" s="29"/>
      <c r="B735" s="30"/>
      <c r="C735" s="30"/>
      <c r="D735" s="31"/>
      <c r="E735" s="32" t="str">
        <f aca="false">IF(B735="","",IFERROR(INDEX(Kategorien!$B$5:$B$37,MATCH(B735,Kategorien!$A$5:$A$37,0)),"unbekannte Kategorie"))</f>
        <v/>
      </c>
    </row>
    <row r="736" customFormat="false" ht="15" hidden="false" customHeight="false" outlineLevel="0" collapsed="false">
      <c r="A736" s="29"/>
      <c r="B736" s="30"/>
      <c r="C736" s="30"/>
      <c r="D736" s="31"/>
      <c r="E736" s="32" t="str">
        <f aca="false">IF(B736="","",IFERROR(INDEX(Kategorien!$B$5:$B$37,MATCH(B736,Kategorien!$A$5:$A$37,0)),"unbekannte Kategorie"))</f>
        <v/>
      </c>
    </row>
    <row r="737" customFormat="false" ht="15" hidden="false" customHeight="false" outlineLevel="0" collapsed="false">
      <c r="A737" s="29"/>
      <c r="B737" s="30"/>
      <c r="C737" s="30"/>
      <c r="D737" s="31"/>
      <c r="E737" s="32" t="str">
        <f aca="false">IF(B737="","",IFERROR(INDEX(Kategorien!$B$5:$B$37,MATCH(B737,Kategorien!$A$5:$A$37,0)),"unbekannte Kategorie"))</f>
        <v/>
      </c>
    </row>
    <row r="738" customFormat="false" ht="15" hidden="false" customHeight="false" outlineLevel="0" collapsed="false">
      <c r="A738" s="29"/>
      <c r="B738" s="30"/>
      <c r="C738" s="30"/>
      <c r="D738" s="31"/>
      <c r="E738" s="32" t="str">
        <f aca="false">IF(B738="","",IFERROR(INDEX(Kategorien!$B$5:$B$37,MATCH(B738,Kategorien!$A$5:$A$37,0)),"unbekannte Kategorie"))</f>
        <v/>
      </c>
    </row>
    <row r="739" customFormat="false" ht="15" hidden="false" customHeight="false" outlineLevel="0" collapsed="false">
      <c r="A739" s="29"/>
      <c r="B739" s="30"/>
      <c r="C739" s="30"/>
      <c r="D739" s="31"/>
      <c r="E739" s="32" t="str">
        <f aca="false">IF(B739="","",IFERROR(INDEX(Kategorien!$B$5:$B$37,MATCH(B739,Kategorien!$A$5:$A$37,0)),"unbekannte Kategorie"))</f>
        <v/>
      </c>
    </row>
    <row r="740" customFormat="false" ht="15" hidden="false" customHeight="false" outlineLevel="0" collapsed="false">
      <c r="A740" s="29"/>
      <c r="B740" s="30"/>
      <c r="C740" s="30"/>
      <c r="D740" s="31"/>
      <c r="E740" s="32" t="str">
        <f aca="false">IF(B740="","",IFERROR(INDEX(Kategorien!$B$5:$B$37,MATCH(B740,Kategorien!$A$5:$A$37,0)),"unbekannte Kategorie"))</f>
        <v/>
      </c>
    </row>
    <row r="741" customFormat="false" ht="15" hidden="false" customHeight="false" outlineLevel="0" collapsed="false">
      <c r="A741" s="29"/>
      <c r="B741" s="30"/>
      <c r="C741" s="30"/>
      <c r="D741" s="31"/>
      <c r="E741" s="32" t="str">
        <f aca="false">IF(B741="","",IFERROR(INDEX(Kategorien!$B$5:$B$37,MATCH(B741,Kategorien!$A$5:$A$37,0)),"unbekannte Kategorie"))</f>
        <v/>
      </c>
    </row>
    <row r="742" customFormat="false" ht="15" hidden="false" customHeight="false" outlineLevel="0" collapsed="false">
      <c r="A742" s="29"/>
      <c r="B742" s="30"/>
      <c r="C742" s="30"/>
      <c r="D742" s="31"/>
      <c r="E742" s="32" t="str">
        <f aca="false">IF(B742="","",IFERROR(INDEX(Kategorien!$B$5:$B$37,MATCH(B742,Kategorien!$A$5:$A$37,0)),"unbekannte Kategorie"))</f>
        <v/>
      </c>
    </row>
    <row r="743" customFormat="false" ht="15" hidden="false" customHeight="false" outlineLevel="0" collapsed="false">
      <c r="A743" s="29"/>
      <c r="B743" s="30"/>
      <c r="C743" s="30"/>
      <c r="D743" s="31"/>
      <c r="E743" s="32" t="str">
        <f aca="false">IF(B743="","",IFERROR(INDEX(Kategorien!$B$5:$B$37,MATCH(B743,Kategorien!$A$5:$A$37,0)),"unbekannte Kategorie"))</f>
        <v/>
      </c>
    </row>
    <row r="744" customFormat="false" ht="15" hidden="false" customHeight="false" outlineLevel="0" collapsed="false">
      <c r="A744" s="29"/>
      <c r="B744" s="30"/>
      <c r="C744" s="30"/>
      <c r="D744" s="31"/>
      <c r="E744" s="32" t="str">
        <f aca="false">IF(B744="","",IFERROR(INDEX(Kategorien!$B$5:$B$37,MATCH(B744,Kategorien!$A$5:$A$37,0)),"unbekannte Kategorie"))</f>
        <v/>
      </c>
    </row>
    <row r="745" customFormat="false" ht="15" hidden="false" customHeight="false" outlineLevel="0" collapsed="false">
      <c r="A745" s="29"/>
      <c r="B745" s="30"/>
      <c r="C745" s="30"/>
      <c r="D745" s="31"/>
      <c r="E745" s="32" t="str">
        <f aca="false">IF(B745="","",IFERROR(INDEX(Kategorien!$B$5:$B$37,MATCH(B745,Kategorien!$A$5:$A$37,0)),"unbekannte Kategorie"))</f>
        <v/>
      </c>
    </row>
    <row r="746" customFormat="false" ht="15" hidden="false" customHeight="false" outlineLevel="0" collapsed="false">
      <c r="A746" s="29"/>
      <c r="B746" s="30"/>
      <c r="C746" s="30"/>
      <c r="D746" s="31"/>
      <c r="E746" s="32" t="str">
        <f aca="false">IF(B746="","",IFERROR(INDEX(Kategorien!$B$5:$B$37,MATCH(B746,Kategorien!$A$5:$A$37,0)),"unbekannte Kategorie"))</f>
        <v/>
      </c>
    </row>
    <row r="747" customFormat="false" ht="15" hidden="false" customHeight="false" outlineLevel="0" collapsed="false">
      <c r="A747" s="29"/>
      <c r="B747" s="30"/>
      <c r="C747" s="30"/>
      <c r="D747" s="31"/>
      <c r="E747" s="32" t="str">
        <f aca="false">IF(B747="","",IFERROR(INDEX(Kategorien!$B$5:$B$37,MATCH(B747,Kategorien!$A$5:$A$37,0)),"unbekannte Kategorie"))</f>
        <v/>
      </c>
    </row>
    <row r="748" customFormat="false" ht="15" hidden="false" customHeight="false" outlineLevel="0" collapsed="false">
      <c r="A748" s="29"/>
      <c r="B748" s="30"/>
      <c r="C748" s="30"/>
      <c r="D748" s="31"/>
      <c r="E748" s="32" t="str">
        <f aca="false">IF(B748="","",IFERROR(INDEX(Kategorien!$B$5:$B$37,MATCH(B748,Kategorien!$A$5:$A$37,0)),"unbekannte Kategorie"))</f>
        <v/>
      </c>
    </row>
    <row r="749" customFormat="false" ht="15" hidden="false" customHeight="false" outlineLevel="0" collapsed="false">
      <c r="A749" s="29"/>
      <c r="B749" s="30"/>
      <c r="C749" s="30"/>
      <c r="D749" s="31"/>
      <c r="E749" s="32" t="str">
        <f aca="false">IF(B749="","",IFERROR(INDEX(Kategorien!$B$5:$B$37,MATCH(B749,Kategorien!$A$5:$A$37,0)),"unbekannte Kategorie"))</f>
        <v/>
      </c>
    </row>
    <row r="750" customFormat="false" ht="15" hidden="false" customHeight="false" outlineLevel="0" collapsed="false">
      <c r="A750" s="29"/>
      <c r="B750" s="30"/>
      <c r="C750" s="30"/>
      <c r="D750" s="31"/>
      <c r="E750" s="32" t="str">
        <f aca="false">IF(B750="","",IFERROR(INDEX(Kategorien!$B$5:$B$37,MATCH(B750,Kategorien!$A$5:$A$37,0)),"unbekannte Kategorie"))</f>
        <v/>
      </c>
    </row>
    <row r="751" customFormat="false" ht="15" hidden="false" customHeight="false" outlineLevel="0" collapsed="false">
      <c r="A751" s="29"/>
      <c r="B751" s="30"/>
      <c r="C751" s="30"/>
      <c r="D751" s="31"/>
      <c r="E751" s="32" t="str">
        <f aca="false">IF(B751="","",IFERROR(INDEX(Kategorien!$B$5:$B$37,MATCH(B751,Kategorien!$A$5:$A$37,0)),"unbekannte Kategorie"))</f>
        <v/>
      </c>
    </row>
    <row r="752" customFormat="false" ht="15" hidden="false" customHeight="false" outlineLevel="0" collapsed="false">
      <c r="A752" s="29"/>
      <c r="B752" s="30"/>
      <c r="C752" s="30"/>
      <c r="D752" s="31"/>
      <c r="E752" s="32" t="str">
        <f aca="false">IF(B752="","",IFERROR(INDEX(Kategorien!$B$5:$B$37,MATCH(B752,Kategorien!$A$5:$A$37,0)),"unbekannte Kategorie"))</f>
        <v/>
      </c>
    </row>
    <row r="753" customFormat="false" ht="15" hidden="false" customHeight="false" outlineLevel="0" collapsed="false">
      <c r="A753" s="29"/>
      <c r="B753" s="30"/>
      <c r="C753" s="30"/>
      <c r="D753" s="31"/>
      <c r="E753" s="32" t="str">
        <f aca="false">IF(B753="","",IFERROR(INDEX(Kategorien!$B$5:$B$37,MATCH(B753,Kategorien!$A$5:$A$37,0)),"unbekannte Kategorie"))</f>
        <v/>
      </c>
    </row>
    <row r="754" customFormat="false" ht="15" hidden="false" customHeight="false" outlineLevel="0" collapsed="false">
      <c r="A754" s="29"/>
      <c r="B754" s="30"/>
      <c r="C754" s="30"/>
      <c r="D754" s="31"/>
      <c r="E754" s="32" t="str">
        <f aca="false">IF(B754="","",IFERROR(INDEX(Kategorien!$B$5:$B$37,MATCH(B754,Kategorien!$A$5:$A$37,0)),"unbekannte Kategorie"))</f>
        <v/>
      </c>
    </row>
    <row r="755" customFormat="false" ht="15" hidden="false" customHeight="false" outlineLevel="0" collapsed="false">
      <c r="A755" s="29"/>
      <c r="B755" s="30"/>
      <c r="C755" s="30"/>
      <c r="D755" s="31"/>
      <c r="E755" s="32" t="str">
        <f aca="false">IF(B755="","",IFERROR(INDEX(Kategorien!$B$5:$B$37,MATCH(B755,Kategorien!$A$5:$A$37,0)),"unbekannte Kategorie"))</f>
        <v/>
      </c>
    </row>
    <row r="756" customFormat="false" ht="15" hidden="false" customHeight="false" outlineLevel="0" collapsed="false">
      <c r="A756" s="29"/>
      <c r="B756" s="30"/>
      <c r="C756" s="30"/>
      <c r="D756" s="31"/>
      <c r="E756" s="32" t="str">
        <f aca="false">IF(B756="","",IFERROR(INDEX(Kategorien!$B$5:$B$37,MATCH(B756,Kategorien!$A$5:$A$37,0)),"unbekannte Kategorie"))</f>
        <v/>
      </c>
    </row>
    <row r="757" customFormat="false" ht="15" hidden="false" customHeight="false" outlineLevel="0" collapsed="false">
      <c r="A757" s="29"/>
      <c r="B757" s="30"/>
      <c r="C757" s="30"/>
      <c r="D757" s="31"/>
      <c r="E757" s="32" t="str">
        <f aca="false">IF(B757="","",IFERROR(INDEX(Kategorien!$B$5:$B$37,MATCH(B757,Kategorien!$A$5:$A$37,0)),"unbekannte Kategorie"))</f>
        <v/>
      </c>
    </row>
    <row r="758" customFormat="false" ht="15" hidden="false" customHeight="false" outlineLevel="0" collapsed="false">
      <c r="A758" s="29"/>
      <c r="B758" s="30"/>
      <c r="C758" s="30"/>
      <c r="D758" s="31"/>
      <c r="E758" s="32" t="str">
        <f aca="false">IF(B758="","",IFERROR(INDEX(Kategorien!$B$5:$B$37,MATCH(B758,Kategorien!$A$5:$A$37,0)),"unbekannte Kategorie"))</f>
        <v/>
      </c>
    </row>
    <row r="759" customFormat="false" ht="15" hidden="false" customHeight="false" outlineLevel="0" collapsed="false">
      <c r="A759" s="29"/>
      <c r="B759" s="30"/>
      <c r="C759" s="30"/>
      <c r="D759" s="31"/>
      <c r="E759" s="32" t="str">
        <f aca="false">IF(B759="","",IFERROR(INDEX(Kategorien!$B$5:$B$37,MATCH(B759,Kategorien!$A$5:$A$37,0)),"unbekannte Kategorie"))</f>
        <v/>
      </c>
    </row>
    <row r="760" customFormat="false" ht="15" hidden="false" customHeight="false" outlineLevel="0" collapsed="false">
      <c r="A760" s="29"/>
      <c r="B760" s="30"/>
      <c r="C760" s="30"/>
      <c r="D760" s="31"/>
      <c r="E760" s="32" t="str">
        <f aca="false">IF(B760="","",IFERROR(INDEX(Kategorien!$B$5:$B$37,MATCH(B760,Kategorien!$A$5:$A$37,0)),"unbekannte Kategorie"))</f>
        <v/>
      </c>
    </row>
    <row r="761" customFormat="false" ht="15" hidden="false" customHeight="false" outlineLevel="0" collapsed="false">
      <c r="A761" s="29"/>
      <c r="B761" s="30"/>
      <c r="C761" s="30"/>
      <c r="D761" s="31"/>
      <c r="E761" s="32" t="str">
        <f aca="false">IF(B761="","",IFERROR(INDEX(Kategorien!$B$5:$B$37,MATCH(B761,Kategorien!$A$5:$A$37,0)),"unbekannte Kategorie"))</f>
        <v/>
      </c>
    </row>
    <row r="762" customFormat="false" ht="15" hidden="false" customHeight="false" outlineLevel="0" collapsed="false">
      <c r="A762" s="29"/>
      <c r="B762" s="30"/>
      <c r="C762" s="30"/>
      <c r="D762" s="31"/>
      <c r="E762" s="32" t="str">
        <f aca="false">IF(B762="","",IFERROR(INDEX(Kategorien!$B$5:$B$37,MATCH(B762,Kategorien!$A$5:$A$37,0)),"unbekannte Kategorie"))</f>
        <v/>
      </c>
    </row>
    <row r="763" customFormat="false" ht="15" hidden="false" customHeight="false" outlineLevel="0" collapsed="false">
      <c r="A763" s="29"/>
      <c r="B763" s="30"/>
      <c r="C763" s="30"/>
      <c r="D763" s="31"/>
      <c r="E763" s="32" t="str">
        <f aca="false">IF(B763="","",IFERROR(INDEX(Kategorien!$B$5:$B$37,MATCH(B763,Kategorien!$A$5:$A$37,0)),"unbekannte Kategorie"))</f>
        <v/>
      </c>
    </row>
    <row r="764" customFormat="false" ht="15" hidden="false" customHeight="false" outlineLevel="0" collapsed="false">
      <c r="A764" s="29"/>
      <c r="B764" s="30"/>
      <c r="C764" s="30"/>
      <c r="D764" s="31"/>
      <c r="E764" s="32" t="str">
        <f aca="false">IF(B764="","",IFERROR(INDEX(Kategorien!$B$5:$B$37,MATCH(B764,Kategorien!$A$5:$A$37,0)),"unbekannte Kategorie"))</f>
        <v/>
      </c>
    </row>
    <row r="765" customFormat="false" ht="15" hidden="false" customHeight="false" outlineLevel="0" collapsed="false">
      <c r="A765" s="29"/>
      <c r="B765" s="30"/>
      <c r="C765" s="30"/>
      <c r="D765" s="31"/>
      <c r="E765" s="32" t="str">
        <f aca="false">IF(B765="","",IFERROR(INDEX(Kategorien!$B$5:$B$37,MATCH(B765,Kategorien!$A$5:$A$37,0)),"unbekannte Kategorie"))</f>
        <v/>
      </c>
    </row>
    <row r="766" customFormat="false" ht="15" hidden="false" customHeight="false" outlineLevel="0" collapsed="false">
      <c r="A766" s="29"/>
      <c r="B766" s="30"/>
      <c r="C766" s="30"/>
      <c r="D766" s="31"/>
      <c r="E766" s="32" t="str">
        <f aca="false">IF(B766="","",IFERROR(INDEX(Kategorien!$B$5:$B$37,MATCH(B766,Kategorien!$A$5:$A$37,0)),"unbekannte Kategorie"))</f>
        <v/>
      </c>
    </row>
    <row r="767" customFormat="false" ht="15" hidden="false" customHeight="false" outlineLevel="0" collapsed="false">
      <c r="A767" s="29"/>
      <c r="B767" s="30"/>
      <c r="C767" s="30"/>
      <c r="D767" s="31"/>
      <c r="E767" s="32" t="str">
        <f aca="false">IF(B767="","",IFERROR(INDEX(Kategorien!$B$5:$B$37,MATCH(B767,Kategorien!$A$5:$A$37,0)),"unbekannte Kategorie"))</f>
        <v/>
      </c>
    </row>
    <row r="768" customFormat="false" ht="15" hidden="false" customHeight="false" outlineLevel="0" collapsed="false">
      <c r="A768" s="29"/>
      <c r="B768" s="30"/>
      <c r="C768" s="30"/>
      <c r="D768" s="31"/>
      <c r="E768" s="32" t="str">
        <f aca="false">IF(B768="","",IFERROR(INDEX(Kategorien!$B$5:$B$37,MATCH(B768,Kategorien!$A$5:$A$37,0)),"unbekannte Kategorie"))</f>
        <v/>
      </c>
    </row>
    <row r="769" customFormat="false" ht="15" hidden="false" customHeight="false" outlineLevel="0" collapsed="false">
      <c r="A769" s="29"/>
      <c r="B769" s="30"/>
      <c r="C769" s="30"/>
      <c r="D769" s="31"/>
      <c r="E769" s="32" t="str">
        <f aca="false">IF(B769="","",IFERROR(INDEX(Kategorien!$B$5:$B$37,MATCH(B769,Kategorien!$A$5:$A$37,0)),"unbekannte Kategorie"))</f>
        <v/>
      </c>
    </row>
    <row r="770" customFormat="false" ht="15" hidden="false" customHeight="false" outlineLevel="0" collapsed="false">
      <c r="A770" s="29"/>
      <c r="B770" s="30"/>
      <c r="C770" s="30"/>
      <c r="D770" s="31"/>
      <c r="E770" s="32" t="str">
        <f aca="false">IF(B770="","",IFERROR(INDEX(Kategorien!$B$5:$B$37,MATCH(B770,Kategorien!$A$5:$A$37,0)),"unbekannte Kategorie"))</f>
        <v/>
      </c>
    </row>
    <row r="771" customFormat="false" ht="15" hidden="false" customHeight="false" outlineLevel="0" collapsed="false">
      <c r="A771" s="29"/>
      <c r="B771" s="30"/>
      <c r="C771" s="30"/>
      <c r="D771" s="31"/>
      <c r="E771" s="32" t="str">
        <f aca="false">IF(B771="","",IFERROR(INDEX(Kategorien!$B$5:$B$37,MATCH(B771,Kategorien!$A$5:$A$37,0)),"unbekannte Kategorie"))</f>
        <v/>
      </c>
    </row>
    <row r="772" customFormat="false" ht="15" hidden="false" customHeight="false" outlineLevel="0" collapsed="false">
      <c r="A772" s="29"/>
      <c r="B772" s="30"/>
      <c r="C772" s="30"/>
      <c r="D772" s="31"/>
      <c r="E772" s="32" t="str">
        <f aca="false">IF(B772="","",IFERROR(INDEX(Kategorien!$B$5:$B$37,MATCH(B772,Kategorien!$A$5:$A$37,0)),"unbekannte Kategorie"))</f>
        <v/>
      </c>
    </row>
    <row r="773" customFormat="false" ht="15" hidden="false" customHeight="false" outlineLevel="0" collapsed="false">
      <c r="A773" s="29"/>
      <c r="B773" s="30"/>
      <c r="C773" s="30"/>
      <c r="D773" s="31"/>
      <c r="E773" s="32" t="str">
        <f aca="false">IF(B773="","",IFERROR(INDEX(Kategorien!$B$5:$B$37,MATCH(B773,Kategorien!$A$5:$A$37,0)),"unbekannte Kategorie"))</f>
        <v/>
      </c>
    </row>
    <row r="774" customFormat="false" ht="15" hidden="false" customHeight="false" outlineLevel="0" collapsed="false">
      <c r="A774" s="29"/>
      <c r="B774" s="30"/>
      <c r="C774" s="30"/>
      <c r="D774" s="31"/>
      <c r="E774" s="32" t="str">
        <f aca="false">IF(B774="","",IFERROR(INDEX(Kategorien!$B$5:$B$37,MATCH(B774,Kategorien!$A$5:$A$37,0)),"unbekannte Kategorie"))</f>
        <v/>
      </c>
    </row>
    <row r="775" customFormat="false" ht="15" hidden="false" customHeight="false" outlineLevel="0" collapsed="false">
      <c r="A775" s="29"/>
      <c r="B775" s="30"/>
      <c r="C775" s="30"/>
      <c r="D775" s="31"/>
      <c r="E775" s="32" t="str">
        <f aca="false">IF(B775="","",IFERROR(INDEX(Kategorien!$B$5:$B$37,MATCH(B775,Kategorien!$A$5:$A$37,0)),"unbekannte Kategorie"))</f>
        <v/>
      </c>
    </row>
    <row r="776" customFormat="false" ht="15" hidden="false" customHeight="false" outlineLevel="0" collapsed="false">
      <c r="A776" s="29"/>
      <c r="B776" s="30"/>
      <c r="C776" s="30"/>
      <c r="D776" s="31"/>
      <c r="E776" s="32" t="str">
        <f aca="false">IF(B776="","",IFERROR(INDEX(Kategorien!$B$5:$B$37,MATCH(B776,Kategorien!$A$5:$A$37,0)),"unbekannte Kategorie"))</f>
        <v/>
      </c>
    </row>
    <row r="777" customFormat="false" ht="15" hidden="false" customHeight="false" outlineLevel="0" collapsed="false">
      <c r="A777" s="29"/>
      <c r="B777" s="30"/>
      <c r="C777" s="30"/>
      <c r="D777" s="31"/>
      <c r="E777" s="32" t="str">
        <f aca="false">IF(B777="","",IFERROR(INDEX(Kategorien!$B$5:$B$37,MATCH(B777,Kategorien!$A$5:$A$37,0)),"unbekannte Kategorie"))</f>
        <v/>
      </c>
    </row>
    <row r="778" customFormat="false" ht="15" hidden="false" customHeight="false" outlineLevel="0" collapsed="false">
      <c r="A778" s="29"/>
      <c r="B778" s="30"/>
      <c r="C778" s="30"/>
      <c r="D778" s="31"/>
      <c r="E778" s="32" t="str">
        <f aca="false">IF(B778="","",IFERROR(INDEX(Kategorien!$B$5:$B$37,MATCH(B778,Kategorien!$A$5:$A$37,0)),"unbekannte Kategorie"))</f>
        <v/>
      </c>
    </row>
    <row r="779" customFormat="false" ht="15" hidden="false" customHeight="false" outlineLevel="0" collapsed="false">
      <c r="A779" s="29"/>
      <c r="B779" s="30"/>
      <c r="C779" s="30"/>
      <c r="D779" s="31"/>
      <c r="E779" s="32" t="str">
        <f aca="false">IF(B779="","",IFERROR(INDEX(Kategorien!$B$5:$B$37,MATCH(B779,Kategorien!$A$5:$A$37,0)),"unbekannte Kategorie"))</f>
        <v/>
      </c>
    </row>
    <row r="780" customFormat="false" ht="15" hidden="false" customHeight="false" outlineLevel="0" collapsed="false">
      <c r="A780" s="29"/>
      <c r="B780" s="30"/>
      <c r="C780" s="30"/>
      <c r="D780" s="31"/>
      <c r="E780" s="32" t="str">
        <f aca="false">IF(B780="","",IFERROR(INDEX(Kategorien!$B$5:$B$37,MATCH(B780,Kategorien!$A$5:$A$37,0)),"unbekannte Kategorie"))</f>
        <v/>
      </c>
    </row>
    <row r="781" customFormat="false" ht="15" hidden="false" customHeight="false" outlineLevel="0" collapsed="false">
      <c r="A781" s="29"/>
      <c r="B781" s="30"/>
      <c r="C781" s="30"/>
      <c r="D781" s="31"/>
      <c r="E781" s="32" t="str">
        <f aca="false">IF(B781="","",IFERROR(INDEX(Kategorien!$B$5:$B$37,MATCH(B781,Kategorien!$A$5:$A$37,0)),"unbekannte Kategorie"))</f>
        <v/>
      </c>
    </row>
    <row r="782" customFormat="false" ht="15" hidden="false" customHeight="false" outlineLevel="0" collapsed="false">
      <c r="A782" s="29"/>
      <c r="B782" s="30"/>
      <c r="C782" s="30"/>
      <c r="D782" s="31"/>
      <c r="E782" s="32" t="str">
        <f aca="false">IF(B782="","",IFERROR(INDEX(Kategorien!$B$5:$B$37,MATCH(B782,Kategorien!$A$5:$A$37,0)),"unbekannte Kategorie"))</f>
        <v/>
      </c>
    </row>
    <row r="783" customFormat="false" ht="15" hidden="false" customHeight="false" outlineLevel="0" collapsed="false">
      <c r="A783" s="29"/>
      <c r="B783" s="30"/>
      <c r="C783" s="30"/>
      <c r="D783" s="31"/>
      <c r="E783" s="32" t="str">
        <f aca="false">IF(B783="","",IFERROR(INDEX(Kategorien!$B$5:$B$37,MATCH(B783,Kategorien!$A$5:$A$37,0)),"unbekannte Kategorie"))</f>
        <v/>
      </c>
    </row>
    <row r="784" customFormat="false" ht="15" hidden="false" customHeight="false" outlineLevel="0" collapsed="false">
      <c r="A784" s="29"/>
      <c r="B784" s="30"/>
      <c r="C784" s="30"/>
      <c r="D784" s="31"/>
      <c r="E784" s="32" t="str">
        <f aca="false">IF(B784="","",IFERROR(INDEX(Kategorien!$B$5:$B$37,MATCH(B784,Kategorien!$A$5:$A$37,0)),"unbekannte Kategorie"))</f>
        <v/>
      </c>
    </row>
    <row r="785" customFormat="false" ht="15" hidden="false" customHeight="false" outlineLevel="0" collapsed="false">
      <c r="A785" s="29"/>
      <c r="B785" s="30"/>
      <c r="C785" s="30"/>
      <c r="D785" s="31"/>
      <c r="E785" s="32" t="str">
        <f aca="false">IF(B785="","",IFERROR(INDEX(Kategorien!$B$5:$B$37,MATCH(B785,Kategorien!$A$5:$A$37,0)),"unbekannte Kategorie"))</f>
        <v/>
      </c>
    </row>
    <row r="786" customFormat="false" ht="15" hidden="false" customHeight="false" outlineLevel="0" collapsed="false">
      <c r="A786" s="29"/>
      <c r="B786" s="30"/>
      <c r="C786" s="30"/>
      <c r="D786" s="31"/>
      <c r="E786" s="32" t="str">
        <f aca="false">IF(B786="","",IFERROR(INDEX(Kategorien!$B$5:$B$37,MATCH(B786,Kategorien!$A$5:$A$37,0)),"unbekannte Kategorie"))</f>
        <v/>
      </c>
    </row>
    <row r="787" customFormat="false" ht="15" hidden="false" customHeight="false" outlineLevel="0" collapsed="false">
      <c r="A787" s="29"/>
      <c r="B787" s="30"/>
      <c r="C787" s="30"/>
      <c r="D787" s="31"/>
      <c r="E787" s="32" t="str">
        <f aca="false">IF(B787="","",IFERROR(INDEX(Kategorien!$B$5:$B$37,MATCH(B787,Kategorien!$A$5:$A$37,0)),"unbekannte Kategorie"))</f>
        <v/>
      </c>
    </row>
    <row r="788" customFormat="false" ht="15" hidden="false" customHeight="false" outlineLevel="0" collapsed="false">
      <c r="A788" s="29"/>
      <c r="B788" s="30"/>
      <c r="C788" s="30"/>
      <c r="D788" s="31"/>
      <c r="E788" s="32" t="str">
        <f aca="false">IF(B788="","",IFERROR(INDEX(Kategorien!$B$5:$B$37,MATCH(B788,Kategorien!$A$5:$A$37,0)),"unbekannte Kategorie"))</f>
        <v/>
      </c>
    </row>
    <row r="789" customFormat="false" ht="15" hidden="false" customHeight="false" outlineLevel="0" collapsed="false">
      <c r="A789" s="29"/>
      <c r="B789" s="30"/>
      <c r="C789" s="30"/>
      <c r="D789" s="31"/>
      <c r="E789" s="32" t="str">
        <f aca="false">IF(B789="","",IFERROR(INDEX(Kategorien!$B$5:$B$37,MATCH(B789,Kategorien!$A$5:$A$37,0)),"unbekannte Kategorie"))</f>
        <v/>
      </c>
    </row>
    <row r="790" customFormat="false" ht="15" hidden="false" customHeight="false" outlineLevel="0" collapsed="false">
      <c r="A790" s="29"/>
      <c r="B790" s="30"/>
      <c r="C790" s="30"/>
      <c r="D790" s="31"/>
      <c r="E790" s="32" t="str">
        <f aca="false">IF(B790="","",IFERROR(INDEX(Kategorien!$B$5:$B$37,MATCH(B790,Kategorien!$A$5:$A$37,0)),"unbekannte Kategorie"))</f>
        <v/>
      </c>
    </row>
    <row r="791" customFormat="false" ht="15" hidden="false" customHeight="false" outlineLevel="0" collapsed="false">
      <c r="A791" s="29"/>
      <c r="B791" s="30"/>
      <c r="C791" s="30"/>
      <c r="D791" s="31"/>
      <c r="E791" s="32" t="str">
        <f aca="false">IF(B791="","",IFERROR(INDEX(Kategorien!$B$5:$B$37,MATCH(B791,Kategorien!$A$5:$A$37,0)),"unbekannte Kategorie"))</f>
        <v/>
      </c>
    </row>
    <row r="792" customFormat="false" ht="15" hidden="false" customHeight="false" outlineLevel="0" collapsed="false">
      <c r="A792" s="29"/>
      <c r="B792" s="30"/>
      <c r="C792" s="30"/>
      <c r="D792" s="31"/>
      <c r="E792" s="32" t="str">
        <f aca="false">IF(B792="","",IFERROR(INDEX(Kategorien!$B$5:$B$37,MATCH(B792,Kategorien!$A$5:$A$37,0)),"unbekannte Kategorie"))</f>
        <v/>
      </c>
    </row>
    <row r="793" customFormat="false" ht="15" hidden="false" customHeight="false" outlineLevel="0" collapsed="false">
      <c r="A793" s="29"/>
      <c r="B793" s="30"/>
      <c r="C793" s="30"/>
      <c r="D793" s="31"/>
      <c r="E793" s="32" t="str">
        <f aca="false">IF(B793="","",IFERROR(INDEX(Kategorien!$B$5:$B$37,MATCH(B793,Kategorien!$A$5:$A$37,0)),"unbekannte Kategorie"))</f>
        <v/>
      </c>
    </row>
    <row r="794" customFormat="false" ht="15" hidden="false" customHeight="false" outlineLevel="0" collapsed="false">
      <c r="A794" s="29"/>
      <c r="B794" s="30"/>
      <c r="C794" s="30"/>
      <c r="D794" s="31"/>
      <c r="E794" s="32" t="str">
        <f aca="false">IF(B794="","",IFERROR(INDEX(Kategorien!$B$5:$B$37,MATCH(B794,Kategorien!$A$5:$A$37,0)),"unbekannte Kategorie"))</f>
        <v/>
      </c>
    </row>
    <row r="795" customFormat="false" ht="15" hidden="false" customHeight="false" outlineLevel="0" collapsed="false">
      <c r="A795" s="29"/>
      <c r="B795" s="30"/>
      <c r="C795" s="30"/>
      <c r="D795" s="31"/>
      <c r="E795" s="32" t="str">
        <f aca="false">IF(B795="","",IFERROR(INDEX(Kategorien!$B$5:$B$37,MATCH(B795,Kategorien!$A$5:$A$37,0)),"unbekannte Kategorie"))</f>
        <v/>
      </c>
    </row>
    <row r="796" customFormat="false" ht="15" hidden="false" customHeight="false" outlineLevel="0" collapsed="false">
      <c r="A796" s="29"/>
      <c r="B796" s="30"/>
      <c r="C796" s="30"/>
      <c r="D796" s="31"/>
      <c r="E796" s="32" t="str">
        <f aca="false">IF(B796="","",IFERROR(INDEX(Kategorien!$B$5:$B$37,MATCH(B796,Kategorien!$A$5:$A$37,0)),"unbekannte Kategorie"))</f>
        <v/>
      </c>
    </row>
    <row r="797" customFormat="false" ht="15" hidden="false" customHeight="false" outlineLevel="0" collapsed="false">
      <c r="A797" s="29"/>
      <c r="B797" s="30"/>
      <c r="C797" s="30"/>
      <c r="D797" s="31"/>
      <c r="E797" s="32" t="str">
        <f aca="false">IF(B797="","",IFERROR(INDEX(Kategorien!$B$5:$B$37,MATCH(B797,Kategorien!$A$5:$A$37,0)),"unbekannte Kategorie"))</f>
        <v/>
      </c>
    </row>
    <row r="798" customFormat="false" ht="15" hidden="false" customHeight="false" outlineLevel="0" collapsed="false">
      <c r="A798" s="29"/>
      <c r="B798" s="30"/>
      <c r="C798" s="30"/>
      <c r="D798" s="31"/>
      <c r="E798" s="32" t="str">
        <f aca="false">IF(B798="","",IFERROR(INDEX(Kategorien!$B$5:$B$37,MATCH(B798,Kategorien!$A$5:$A$37,0)),"unbekannte Kategorie"))</f>
        <v/>
      </c>
    </row>
    <row r="799" customFormat="false" ht="15" hidden="false" customHeight="false" outlineLevel="0" collapsed="false">
      <c r="A799" s="29"/>
      <c r="B799" s="30"/>
      <c r="C799" s="30"/>
      <c r="D799" s="31"/>
      <c r="E799" s="32" t="str">
        <f aca="false">IF(B799="","",IFERROR(INDEX(Kategorien!$B$5:$B$37,MATCH(B799,Kategorien!$A$5:$A$37,0)),"unbekannte Kategorie"))</f>
        <v/>
      </c>
    </row>
    <row r="800" customFormat="false" ht="15" hidden="false" customHeight="false" outlineLevel="0" collapsed="false">
      <c r="A800" s="29"/>
      <c r="B800" s="30"/>
      <c r="C800" s="30"/>
      <c r="D800" s="31"/>
      <c r="E800" s="32" t="str">
        <f aca="false">IF(B800="","",IFERROR(INDEX(Kategorien!$B$5:$B$37,MATCH(B800,Kategorien!$A$5:$A$37,0)),"unbekannte Kategorie"))</f>
        <v/>
      </c>
    </row>
    <row r="801" customFormat="false" ht="15" hidden="false" customHeight="false" outlineLevel="0" collapsed="false">
      <c r="A801" s="29"/>
      <c r="B801" s="30"/>
      <c r="C801" s="30"/>
      <c r="D801" s="31"/>
      <c r="E801" s="32" t="str">
        <f aca="false">IF(B801="","",IFERROR(INDEX(Kategorien!$B$5:$B$37,MATCH(B801,Kategorien!$A$5:$A$37,0)),"unbekannte Kategorie"))</f>
        <v/>
      </c>
    </row>
    <row r="802" customFormat="false" ht="15" hidden="false" customHeight="false" outlineLevel="0" collapsed="false">
      <c r="A802" s="29"/>
      <c r="B802" s="30"/>
      <c r="C802" s="30"/>
      <c r="D802" s="31"/>
      <c r="E802" s="32" t="str">
        <f aca="false">IF(B802="","",IFERROR(INDEX(Kategorien!$B$5:$B$37,MATCH(B802,Kategorien!$A$5:$A$37,0)),"unbekannte Kategorie"))</f>
        <v/>
      </c>
    </row>
    <row r="803" customFormat="false" ht="15" hidden="false" customHeight="false" outlineLevel="0" collapsed="false">
      <c r="A803" s="29"/>
      <c r="B803" s="30"/>
      <c r="C803" s="30"/>
      <c r="D803" s="31"/>
      <c r="E803" s="32" t="str">
        <f aca="false">IF(B803="","",IFERROR(INDEX(Kategorien!$B$5:$B$37,MATCH(B803,Kategorien!$A$5:$A$37,0)),"unbekannte Kategorie"))</f>
        <v/>
      </c>
    </row>
    <row r="804" customFormat="false" ht="15" hidden="false" customHeight="false" outlineLevel="0" collapsed="false">
      <c r="A804" s="29"/>
      <c r="B804" s="30"/>
      <c r="C804" s="30"/>
      <c r="D804" s="31"/>
      <c r="E804" s="32" t="str">
        <f aca="false">IF(B804="","",IFERROR(INDEX(Kategorien!$B$5:$B$37,MATCH(B804,Kategorien!$A$5:$A$37,0)),"unbekannte Kategorie"))</f>
        <v/>
      </c>
    </row>
    <row r="805" customFormat="false" ht="15" hidden="false" customHeight="false" outlineLevel="0" collapsed="false">
      <c r="A805" s="29"/>
      <c r="B805" s="30"/>
      <c r="C805" s="30"/>
      <c r="D805" s="31"/>
      <c r="E805" s="32" t="str">
        <f aca="false">IF(B805="","",IFERROR(INDEX(Kategorien!$B$5:$B$37,MATCH(B805,Kategorien!$A$5:$A$37,0)),"unbekannte Kategorie"))</f>
        <v/>
      </c>
    </row>
    <row r="806" customFormat="false" ht="15" hidden="false" customHeight="false" outlineLevel="0" collapsed="false">
      <c r="A806" s="29"/>
      <c r="B806" s="30"/>
      <c r="C806" s="30"/>
      <c r="D806" s="31"/>
      <c r="E806" s="32" t="str">
        <f aca="false">IF(B806="","",IFERROR(INDEX(Kategorien!$B$5:$B$37,MATCH(B806,Kategorien!$A$5:$A$37,0)),"unbekannte Kategorie"))</f>
        <v/>
      </c>
    </row>
    <row r="807" customFormat="false" ht="15" hidden="false" customHeight="false" outlineLevel="0" collapsed="false">
      <c r="A807" s="29"/>
      <c r="B807" s="30"/>
      <c r="C807" s="30"/>
      <c r="D807" s="31"/>
      <c r="E807" s="32" t="str">
        <f aca="false">IF(B807="","",IFERROR(INDEX(Kategorien!$B$5:$B$37,MATCH(B807,Kategorien!$A$5:$A$37,0)),"unbekannte Kategorie"))</f>
        <v/>
      </c>
    </row>
    <row r="808" customFormat="false" ht="15" hidden="false" customHeight="false" outlineLevel="0" collapsed="false">
      <c r="A808" s="29"/>
      <c r="B808" s="30"/>
      <c r="C808" s="30"/>
      <c r="D808" s="31"/>
      <c r="E808" s="32" t="str">
        <f aca="false">IF(B808="","",IFERROR(INDEX(Kategorien!$B$5:$B$37,MATCH(B808,Kategorien!$A$5:$A$37,0)),"unbekannte Kategorie"))</f>
        <v/>
      </c>
    </row>
    <row r="809" customFormat="false" ht="15" hidden="false" customHeight="false" outlineLevel="0" collapsed="false">
      <c r="A809" s="29"/>
      <c r="B809" s="30"/>
      <c r="C809" s="30"/>
      <c r="D809" s="31"/>
      <c r="E809" s="32" t="str">
        <f aca="false">IF(B809="","",IFERROR(INDEX(Kategorien!$B$5:$B$37,MATCH(B809,Kategorien!$A$5:$A$37,0)),"unbekannte Kategorie"))</f>
        <v/>
      </c>
    </row>
    <row r="810" customFormat="false" ht="15" hidden="false" customHeight="false" outlineLevel="0" collapsed="false">
      <c r="A810" s="29"/>
      <c r="B810" s="30"/>
      <c r="C810" s="30"/>
      <c r="D810" s="31"/>
      <c r="E810" s="32" t="str">
        <f aca="false">IF(B810="","",IFERROR(INDEX(Kategorien!$B$5:$B$37,MATCH(B810,Kategorien!$A$5:$A$37,0)),"unbekannte Kategorie"))</f>
        <v/>
      </c>
    </row>
    <row r="811" customFormat="false" ht="15" hidden="false" customHeight="false" outlineLevel="0" collapsed="false">
      <c r="A811" s="29"/>
      <c r="B811" s="30"/>
      <c r="C811" s="30"/>
      <c r="D811" s="31"/>
      <c r="E811" s="32" t="str">
        <f aca="false">IF(B811="","",IFERROR(INDEX(Kategorien!$B$5:$B$37,MATCH(B811,Kategorien!$A$5:$A$37,0)),"unbekannte Kategorie"))</f>
        <v/>
      </c>
    </row>
    <row r="812" customFormat="false" ht="15" hidden="false" customHeight="false" outlineLevel="0" collapsed="false">
      <c r="A812" s="29"/>
      <c r="B812" s="30"/>
      <c r="C812" s="30"/>
      <c r="D812" s="31"/>
      <c r="E812" s="32" t="str">
        <f aca="false">IF(B812="","",IFERROR(INDEX(Kategorien!$B$5:$B$37,MATCH(B812,Kategorien!$A$5:$A$37,0)),"unbekannte Kategorie"))</f>
        <v/>
      </c>
    </row>
    <row r="813" customFormat="false" ht="15" hidden="false" customHeight="false" outlineLevel="0" collapsed="false">
      <c r="A813" s="29"/>
      <c r="B813" s="30"/>
      <c r="C813" s="30"/>
      <c r="D813" s="31"/>
      <c r="E813" s="32" t="str">
        <f aca="false">IF(B813="","",IFERROR(INDEX(Kategorien!$B$5:$B$37,MATCH(B813,Kategorien!$A$5:$A$37,0)),"unbekannte Kategorie"))</f>
        <v/>
      </c>
    </row>
    <row r="814" customFormat="false" ht="15" hidden="false" customHeight="false" outlineLevel="0" collapsed="false">
      <c r="A814" s="29"/>
      <c r="B814" s="30"/>
      <c r="C814" s="30"/>
      <c r="D814" s="31"/>
      <c r="E814" s="32" t="str">
        <f aca="false">IF(B814="","",IFERROR(INDEX(Kategorien!$B$5:$B$37,MATCH(B814,Kategorien!$A$5:$A$37,0)),"unbekannte Kategorie"))</f>
        <v/>
      </c>
    </row>
    <row r="815" customFormat="false" ht="15" hidden="false" customHeight="false" outlineLevel="0" collapsed="false">
      <c r="A815" s="29"/>
      <c r="B815" s="30"/>
      <c r="C815" s="30"/>
      <c r="D815" s="31"/>
      <c r="E815" s="32" t="str">
        <f aca="false">IF(B815="","",IFERROR(INDEX(Kategorien!$B$5:$B$37,MATCH(B815,Kategorien!$A$5:$A$37,0)),"unbekannte Kategorie"))</f>
        <v/>
      </c>
    </row>
    <row r="816" customFormat="false" ht="15" hidden="false" customHeight="false" outlineLevel="0" collapsed="false">
      <c r="A816" s="29"/>
      <c r="B816" s="30"/>
      <c r="C816" s="30"/>
      <c r="D816" s="31"/>
      <c r="E816" s="32" t="str">
        <f aca="false">IF(B816="","",IFERROR(INDEX(Kategorien!$B$5:$B$37,MATCH(B816,Kategorien!$A$5:$A$37,0)),"unbekannte Kategorie"))</f>
        <v/>
      </c>
    </row>
    <row r="817" customFormat="false" ht="15" hidden="false" customHeight="false" outlineLevel="0" collapsed="false">
      <c r="A817" s="29"/>
      <c r="B817" s="30"/>
      <c r="C817" s="30"/>
      <c r="D817" s="31"/>
      <c r="E817" s="32" t="str">
        <f aca="false">IF(B817="","",IFERROR(INDEX(Kategorien!$B$5:$B$37,MATCH(B817,Kategorien!$A$5:$A$37,0)),"unbekannte Kategorie"))</f>
        <v/>
      </c>
    </row>
    <row r="818" customFormat="false" ht="15" hidden="false" customHeight="false" outlineLevel="0" collapsed="false">
      <c r="A818" s="29"/>
      <c r="B818" s="30"/>
      <c r="C818" s="30"/>
      <c r="D818" s="31"/>
      <c r="E818" s="32" t="str">
        <f aca="false">IF(B818="","",IFERROR(INDEX(Kategorien!$B$5:$B$37,MATCH(B818,Kategorien!$A$5:$A$37,0)),"unbekannte Kategorie"))</f>
        <v/>
      </c>
    </row>
    <row r="819" customFormat="false" ht="15" hidden="false" customHeight="false" outlineLevel="0" collapsed="false">
      <c r="A819" s="29"/>
      <c r="B819" s="30"/>
      <c r="C819" s="30"/>
      <c r="D819" s="31"/>
      <c r="E819" s="32" t="str">
        <f aca="false">IF(B819="","",IFERROR(INDEX(Kategorien!$B$5:$B$37,MATCH(B819,Kategorien!$A$5:$A$37,0)),"unbekannte Kategorie"))</f>
        <v/>
      </c>
    </row>
    <row r="820" customFormat="false" ht="15" hidden="false" customHeight="false" outlineLevel="0" collapsed="false">
      <c r="A820" s="29"/>
      <c r="B820" s="30"/>
      <c r="C820" s="30"/>
      <c r="D820" s="31"/>
      <c r="E820" s="32" t="str">
        <f aca="false">IF(B820="","",IFERROR(INDEX(Kategorien!$B$5:$B$37,MATCH(B820,Kategorien!$A$5:$A$37,0)),"unbekannte Kategorie"))</f>
        <v/>
      </c>
    </row>
    <row r="821" customFormat="false" ht="15" hidden="false" customHeight="false" outlineLevel="0" collapsed="false">
      <c r="A821" s="29"/>
      <c r="B821" s="30"/>
      <c r="C821" s="30"/>
      <c r="D821" s="31"/>
      <c r="E821" s="32" t="str">
        <f aca="false">IF(B821="","",IFERROR(INDEX(Kategorien!$B$5:$B$37,MATCH(B821,Kategorien!$A$5:$A$37,0)),"unbekannte Kategorie"))</f>
        <v/>
      </c>
    </row>
    <row r="822" customFormat="false" ht="15" hidden="false" customHeight="false" outlineLevel="0" collapsed="false">
      <c r="A822" s="29"/>
      <c r="B822" s="30"/>
      <c r="C822" s="30"/>
      <c r="D822" s="31"/>
      <c r="E822" s="32" t="str">
        <f aca="false">IF(B822="","",IFERROR(INDEX(Kategorien!$B$5:$B$37,MATCH(B822,Kategorien!$A$5:$A$37,0)),"unbekannte Kategorie"))</f>
        <v/>
      </c>
    </row>
    <row r="823" customFormat="false" ht="15" hidden="false" customHeight="false" outlineLevel="0" collapsed="false">
      <c r="A823" s="29"/>
      <c r="B823" s="30"/>
      <c r="C823" s="30"/>
      <c r="D823" s="31"/>
      <c r="E823" s="32" t="str">
        <f aca="false">IF(B823="","",IFERROR(INDEX(Kategorien!$B$5:$B$37,MATCH(B823,Kategorien!$A$5:$A$37,0)),"unbekannte Kategorie"))</f>
        <v/>
      </c>
    </row>
    <row r="824" customFormat="false" ht="15" hidden="false" customHeight="false" outlineLevel="0" collapsed="false">
      <c r="A824" s="29"/>
      <c r="B824" s="30"/>
      <c r="C824" s="30"/>
      <c r="D824" s="31"/>
      <c r="E824" s="32" t="str">
        <f aca="false">IF(B824="","",IFERROR(INDEX(Kategorien!$B$5:$B$37,MATCH(B824,Kategorien!$A$5:$A$37,0)),"unbekannte Kategorie"))</f>
        <v/>
      </c>
    </row>
    <row r="825" customFormat="false" ht="15" hidden="false" customHeight="false" outlineLevel="0" collapsed="false">
      <c r="A825" s="29"/>
      <c r="B825" s="30"/>
      <c r="C825" s="30"/>
      <c r="D825" s="31"/>
      <c r="E825" s="32" t="str">
        <f aca="false">IF(B825="","",IFERROR(INDEX(Kategorien!$B$5:$B$37,MATCH(B825,Kategorien!$A$5:$A$37,0)),"unbekannte Kategorie"))</f>
        <v/>
      </c>
    </row>
    <row r="826" customFormat="false" ht="15" hidden="false" customHeight="false" outlineLevel="0" collapsed="false">
      <c r="A826" s="29"/>
      <c r="B826" s="30"/>
      <c r="C826" s="30"/>
      <c r="D826" s="31"/>
      <c r="E826" s="32" t="str">
        <f aca="false">IF(B826="","",IFERROR(INDEX(Kategorien!$B$5:$B$37,MATCH(B826,Kategorien!$A$5:$A$37,0)),"unbekannte Kategorie"))</f>
        <v/>
      </c>
    </row>
    <row r="827" customFormat="false" ht="15" hidden="false" customHeight="false" outlineLevel="0" collapsed="false">
      <c r="A827" s="29"/>
      <c r="B827" s="30"/>
      <c r="C827" s="30"/>
      <c r="D827" s="31"/>
      <c r="E827" s="32" t="str">
        <f aca="false">IF(B827="","",IFERROR(INDEX(Kategorien!$B$5:$B$37,MATCH(B827,Kategorien!$A$5:$A$37,0)),"unbekannte Kategorie"))</f>
        <v/>
      </c>
    </row>
    <row r="828" customFormat="false" ht="15" hidden="false" customHeight="false" outlineLevel="0" collapsed="false">
      <c r="A828" s="29"/>
      <c r="B828" s="30"/>
      <c r="C828" s="30"/>
      <c r="D828" s="31"/>
      <c r="E828" s="32" t="str">
        <f aca="false">IF(B828="","",IFERROR(INDEX(Kategorien!$B$5:$B$37,MATCH(B828,Kategorien!$A$5:$A$37,0)),"unbekannte Kategorie"))</f>
        <v/>
      </c>
    </row>
    <row r="829" customFormat="false" ht="15" hidden="false" customHeight="false" outlineLevel="0" collapsed="false">
      <c r="A829" s="29"/>
      <c r="B829" s="30"/>
      <c r="C829" s="30"/>
      <c r="D829" s="31"/>
      <c r="E829" s="32" t="str">
        <f aca="false">IF(B829="","",IFERROR(INDEX(Kategorien!$B$5:$B$37,MATCH(B829,Kategorien!$A$5:$A$37,0)),"unbekannte Kategorie"))</f>
        <v/>
      </c>
    </row>
    <row r="830" customFormat="false" ht="15" hidden="false" customHeight="false" outlineLevel="0" collapsed="false">
      <c r="A830" s="29"/>
      <c r="B830" s="30"/>
      <c r="C830" s="30"/>
      <c r="D830" s="31"/>
      <c r="E830" s="32" t="str">
        <f aca="false">IF(B830="","",IFERROR(INDEX(Kategorien!$B$5:$B$37,MATCH(B830,Kategorien!$A$5:$A$37,0)),"unbekannte Kategorie"))</f>
        <v/>
      </c>
    </row>
    <row r="831" customFormat="false" ht="15" hidden="false" customHeight="false" outlineLevel="0" collapsed="false">
      <c r="A831" s="29"/>
      <c r="B831" s="30"/>
      <c r="C831" s="30"/>
      <c r="D831" s="31"/>
      <c r="E831" s="32" t="str">
        <f aca="false">IF(B831="","",IFERROR(INDEX(Kategorien!$B$5:$B$37,MATCH(B831,Kategorien!$A$5:$A$37,0)),"unbekannte Kategorie"))</f>
        <v/>
      </c>
    </row>
    <row r="832" customFormat="false" ht="15" hidden="false" customHeight="false" outlineLevel="0" collapsed="false">
      <c r="A832" s="29"/>
      <c r="B832" s="30"/>
      <c r="C832" s="30"/>
      <c r="D832" s="31"/>
      <c r="E832" s="32" t="str">
        <f aca="false">IF(B832="","",IFERROR(INDEX(Kategorien!$B$5:$B$37,MATCH(B832,Kategorien!$A$5:$A$37,0)),"unbekannte Kategorie"))</f>
        <v/>
      </c>
    </row>
    <row r="833" customFormat="false" ht="15" hidden="false" customHeight="false" outlineLevel="0" collapsed="false">
      <c r="A833" s="29"/>
      <c r="B833" s="30"/>
      <c r="C833" s="30"/>
      <c r="D833" s="31"/>
      <c r="E833" s="32" t="str">
        <f aca="false">IF(B833="","",IFERROR(INDEX(Kategorien!$B$5:$B$37,MATCH(B833,Kategorien!$A$5:$A$37,0)),"unbekannte Kategorie"))</f>
        <v/>
      </c>
    </row>
    <row r="834" customFormat="false" ht="15" hidden="false" customHeight="false" outlineLevel="0" collapsed="false">
      <c r="A834" s="29"/>
      <c r="B834" s="30"/>
      <c r="C834" s="30"/>
      <c r="D834" s="31"/>
      <c r="E834" s="32" t="str">
        <f aca="false">IF(B834="","",IFERROR(INDEX(Kategorien!$B$5:$B$37,MATCH(B834,Kategorien!$A$5:$A$37,0)),"unbekannte Kategorie"))</f>
        <v/>
      </c>
    </row>
    <row r="835" customFormat="false" ht="15" hidden="false" customHeight="false" outlineLevel="0" collapsed="false">
      <c r="A835" s="29"/>
      <c r="B835" s="30"/>
      <c r="C835" s="30"/>
      <c r="D835" s="31"/>
      <c r="E835" s="32" t="str">
        <f aca="false">IF(B835="","",IFERROR(INDEX(Kategorien!$B$5:$B$37,MATCH(B835,Kategorien!$A$5:$A$37,0)),"unbekannte Kategorie"))</f>
        <v/>
      </c>
    </row>
    <row r="836" customFormat="false" ht="15" hidden="false" customHeight="false" outlineLevel="0" collapsed="false">
      <c r="A836" s="29"/>
      <c r="B836" s="30"/>
      <c r="C836" s="30"/>
      <c r="D836" s="31"/>
      <c r="E836" s="32" t="str">
        <f aca="false">IF(B836="","",IFERROR(INDEX(Kategorien!$B$5:$B$37,MATCH(B836,Kategorien!$A$5:$A$37,0)),"unbekannte Kategorie"))</f>
        <v/>
      </c>
    </row>
    <row r="837" customFormat="false" ht="15" hidden="false" customHeight="false" outlineLevel="0" collapsed="false">
      <c r="A837" s="29"/>
      <c r="B837" s="30"/>
      <c r="C837" s="30"/>
      <c r="D837" s="31"/>
      <c r="E837" s="32" t="str">
        <f aca="false">IF(B837="","",IFERROR(INDEX(Kategorien!$B$5:$B$37,MATCH(B837,Kategorien!$A$5:$A$37,0)),"unbekannte Kategorie"))</f>
        <v/>
      </c>
    </row>
    <row r="838" customFormat="false" ht="15" hidden="false" customHeight="false" outlineLevel="0" collapsed="false">
      <c r="A838" s="29"/>
      <c r="B838" s="30"/>
      <c r="C838" s="30"/>
      <c r="D838" s="31"/>
      <c r="E838" s="32" t="str">
        <f aca="false">IF(B838="","",IFERROR(INDEX(Kategorien!$B$5:$B$37,MATCH(B838,Kategorien!$A$5:$A$37,0)),"unbekannte Kategorie"))</f>
        <v/>
      </c>
    </row>
    <row r="839" customFormat="false" ht="15" hidden="false" customHeight="false" outlineLevel="0" collapsed="false">
      <c r="A839" s="29"/>
      <c r="B839" s="30"/>
      <c r="C839" s="30"/>
      <c r="D839" s="31"/>
      <c r="E839" s="32" t="str">
        <f aca="false">IF(B839="","",IFERROR(INDEX(Kategorien!$B$5:$B$37,MATCH(B839,Kategorien!$A$5:$A$37,0)),"unbekannte Kategorie"))</f>
        <v/>
      </c>
    </row>
    <row r="840" customFormat="false" ht="15" hidden="false" customHeight="false" outlineLevel="0" collapsed="false">
      <c r="A840" s="29"/>
      <c r="B840" s="30"/>
      <c r="C840" s="30"/>
      <c r="D840" s="31"/>
      <c r="E840" s="32" t="str">
        <f aca="false">IF(B840="","",IFERROR(INDEX(Kategorien!$B$5:$B$37,MATCH(B840,Kategorien!$A$5:$A$37,0)),"unbekannte Kategorie"))</f>
        <v/>
      </c>
    </row>
    <row r="841" customFormat="false" ht="15" hidden="false" customHeight="false" outlineLevel="0" collapsed="false">
      <c r="A841" s="29"/>
      <c r="B841" s="30"/>
      <c r="C841" s="30"/>
      <c r="D841" s="31"/>
      <c r="E841" s="32" t="str">
        <f aca="false">IF(B841="","",IFERROR(INDEX(Kategorien!$B$5:$B$37,MATCH(B841,Kategorien!$A$5:$A$37,0)),"unbekannte Kategorie"))</f>
        <v/>
      </c>
    </row>
    <row r="842" customFormat="false" ht="15" hidden="false" customHeight="false" outlineLevel="0" collapsed="false">
      <c r="A842" s="29"/>
      <c r="B842" s="30"/>
      <c r="C842" s="30"/>
      <c r="D842" s="31"/>
      <c r="E842" s="32" t="str">
        <f aca="false">IF(B842="","",IFERROR(INDEX(Kategorien!$B$5:$B$37,MATCH(B842,Kategorien!$A$5:$A$37,0)),"unbekannte Kategorie"))</f>
        <v/>
      </c>
    </row>
    <row r="843" customFormat="false" ht="15" hidden="false" customHeight="false" outlineLevel="0" collapsed="false">
      <c r="A843" s="29"/>
      <c r="B843" s="30"/>
      <c r="C843" s="30"/>
      <c r="D843" s="31"/>
      <c r="E843" s="32" t="str">
        <f aca="false">IF(B843="","",IFERROR(INDEX(Kategorien!$B$5:$B$37,MATCH(B843,Kategorien!$A$5:$A$37,0)),"unbekannte Kategorie"))</f>
        <v/>
      </c>
    </row>
    <row r="844" customFormat="false" ht="15" hidden="false" customHeight="false" outlineLevel="0" collapsed="false">
      <c r="A844" s="29"/>
      <c r="B844" s="30"/>
      <c r="C844" s="30"/>
      <c r="D844" s="31"/>
      <c r="E844" s="32" t="str">
        <f aca="false">IF(B844="","",IFERROR(INDEX(Kategorien!$B$5:$B$37,MATCH(B844,Kategorien!$A$5:$A$37,0)),"unbekannte Kategorie"))</f>
        <v/>
      </c>
    </row>
    <row r="845" customFormat="false" ht="15" hidden="false" customHeight="false" outlineLevel="0" collapsed="false">
      <c r="A845" s="29"/>
      <c r="B845" s="30"/>
      <c r="C845" s="30"/>
      <c r="D845" s="31"/>
      <c r="E845" s="32" t="str">
        <f aca="false">IF(B845="","",IFERROR(INDEX(Kategorien!$B$5:$B$37,MATCH(B845,Kategorien!$A$5:$A$37,0)),"unbekannte Kategorie"))</f>
        <v/>
      </c>
    </row>
    <row r="846" customFormat="false" ht="15" hidden="false" customHeight="false" outlineLevel="0" collapsed="false">
      <c r="A846" s="29"/>
      <c r="B846" s="30"/>
      <c r="C846" s="30"/>
      <c r="D846" s="31"/>
      <c r="E846" s="32" t="str">
        <f aca="false">IF(B846="","",IFERROR(INDEX(Kategorien!$B$5:$B$37,MATCH(B846,Kategorien!$A$5:$A$37,0)),"unbekannte Kategorie"))</f>
        <v/>
      </c>
    </row>
    <row r="847" customFormat="false" ht="15" hidden="false" customHeight="false" outlineLevel="0" collapsed="false">
      <c r="A847" s="29"/>
      <c r="B847" s="30"/>
      <c r="C847" s="30"/>
      <c r="D847" s="31"/>
      <c r="E847" s="32" t="str">
        <f aca="false">IF(B847="","",IFERROR(INDEX(Kategorien!$B$5:$B$37,MATCH(B847,Kategorien!$A$5:$A$37,0)),"unbekannte Kategorie"))</f>
        <v/>
      </c>
    </row>
    <row r="848" customFormat="false" ht="15" hidden="false" customHeight="false" outlineLevel="0" collapsed="false">
      <c r="A848" s="29"/>
      <c r="B848" s="30"/>
      <c r="C848" s="30"/>
      <c r="D848" s="31"/>
      <c r="E848" s="32" t="str">
        <f aca="false">IF(B848="","",IFERROR(INDEX(Kategorien!$B$5:$B$37,MATCH(B848,Kategorien!$A$5:$A$37,0)),"unbekannte Kategorie"))</f>
        <v/>
      </c>
    </row>
    <row r="849" customFormat="false" ht="15" hidden="false" customHeight="false" outlineLevel="0" collapsed="false">
      <c r="A849" s="29"/>
      <c r="B849" s="30"/>
      <c r="C849" s="30"/>
      <c r="D849" s="31"/>
      <c r="E849" s="32" t="str">
        <f aca="false">IF(B849="","",IFERROR(INDEX(Kategorien!$B$5:$B$37,MATCH(B849,Kategorien!$A$5:$A$37,0)),"unbekannte Kategorie"))</f>
        <v/>
      </c>
    </row>
    <row r="850" customFormat="false" ht="15" hidden="false" customHeight="false" outlineLevel="0" collapsed="false">
      <c r="A850" s="29"/>
      <c r="B850" s="30"/>
      <c r="C850" s="30"/>
      <c r="D850" s="31"/>
      <c r="E850" s="32" t="str">
        <f aca="false">IF(B850="","",IFERROR(INDEX(Kategorien!$B$5:$B$37,MATCH(B850,Kategorien!$A$5:$A$37,0)),"unbekannte Kategorie"))</f>
        <v/>
      </c>
    </row>
    <row r="851" customFormat="false" ht="15" hidden="false" customHeight="false" outlineLevel="0" collapsed="false">
      <c r="A851" s="29"/>
      <c r="B851" s="30"/>
      <c r="C851" s="30"/>
      <c r="D851" s="31"/>
      <c r="E851" s="32" t="str">
        <f aca="false">IF(B851="","",IFERROR(INDEX(Kategorien!$B$5:$B$37,MATCH(B851,Kategorien!$A$5:$A$37,0)),"unbekannte Kategorie"))</f>
        <v/>
      </c>
    </row>
    <row r="852" customFormat="false" ht="15" hidden="false" customHeight="false" outlineLevel="0" collapsed="false">
      <c r="A852" s="29"/>
      <c r="B852" s="30"/>
      <c r="C852" s="30"/>
      <c r="D852" s="31"/>
      <c r="E852" s="32" t="str">
        <f aca="false">IF(B852="","",IFERROR(INDEX(Kategorien!$B$5:$B$37,MATCH(B852,Kategorien!$A$5:$A$37,0)),"unbekannte Kategorie"))</f>
        <v/>
      </c>
    </row>
    <row r="853" customFormat="false" ht="15" hidden="false" customHeight="false" outlineLevel="0" collapsed="false">
      <c r="A853" s="29"/>
      <c r="B853" s="30"/>
      <c r="C853" s="30"/>
      <c r="D853" s="31"/>
      <c r="E853" s="32" t="str">
        <f aca="false">IF(B853="","",IFERROR(INDEX(Kategorien!$B$5:$B$37,MATCH(B853,Kategorien!$A$5:$A$37,0)),"unbekannte Kategorie"))</f>
        <v/>
      </c>
    </row>
    <row r="854" customFormat="false" ht="15" hidden="false" customHeight="false" outlineLevel="0" collapsed="false">
      <c r="A854" s="29"/>
      <c r="B854" s="30"/>
      <c r="C854" s="30"/>
      <c r="D854" s="31"/>
      <c r="E854" s="32" t="str">
        <f aca="false">IF(B854="","",IFERROR(INDEX(Kategorien!$B$5:$B$37,MATCH(B854,Kategorien!$A$5:$A$37,0)),"unbekannte Kategorie"))</f>
        <v/>
      </c>
    </row>
    <row r="855" customFormat="false" ht="15" hidden="false" customHeight="false" outlineLevel="0" collapsed="false">
      <c r="A855" s="29"/>
      <c r="B855" s="30"/>
      <c r="C855" s="30"/>
      <c r="D855" s="31"/>
      <c r="E855" s="32" t="str">
        <f aca="false">IF(B855="","",IFERROR(INDEX(Kategorien!$B$5:$B$37,MATCH(B855,Kategorien!$A$5:$A$37,0)),"unbekannte Kategorie"))</f>
        <v/>
      </c>
    </row>
    <row r="856" customFormat="false" ht="15" hidden="false" customHeight="false" outlineLevel="0" collapsed="false">
      <c r="A856" s="29"/>
      <c r="B856" s="30"/>
      <c r="C856" s="30"/>
      <c r="D856" s="31"/>
      <c r="E856" s="32" t="str">
        <f aca="false">IF(B856="","",IFERROR(INDEX(Kategorien!$B$5:$B$37,MATCH(B856,Kategorien!$A$5:$A$37,0)),"unbekannte Kategorie"))</f>
        <v/>
      </c>
    </row>
    <row r="857" customFormat="false" ht="15" hidden="false" customHeight="false" outlineLevel="0" collapsed="false">
      <c r="A857" s="29"/>
      <c r="B857" s="30"/>
      <c r="C857" s="30"/>
      <c r="D857" s="31"/>
      <c r="E857" s="32" t="str">
        <f aca="false">IF(B857="","",IFERROR(INDEX(Kategorien!$B$5:$B$37,MATCH(B857,Kategorien!$A$5:$A$37,0)),"unbekannte Kategorie"))</f>
        <v/>
      </c>
    </row>
    <row r="858" customFormat="false" ht="15" hidden="false" customHeight="false" outlineLevel="0" collapsed="false">
      <c r="A858" s="29"/>
      <c r="B858" s="30"/>
      <c r="C858" s="30"/>
      <c r="D858" s="31"/>
      <c r="E858" s="32" t="str">
        <f aca="false">IF(B858="","",IFERROR(INDEX(Kategorien!$B$5:$B$37,MATCH(B858,Kategorien!$A$5:$A$37,0)),"unbekannte Kategorie"))</f>
        <v/>
      </c>
    </row>
    <row r="859" customFormat="false" ht="15" hidden="false" customHeight="false" outlineLevel="0" collapsed="false">
      <c r="A859" s="29"/>
      <c r="B859" s="30"/>
      <c r="C859" s="30"/>
      <c r="D859" s="31"/>
      <c r="E859" s="32" t="str">
        <f aca="false">IF(B859="","",IFERROR(INDEX(Kategorien!$B$5:$B$37,MATCH(B859,Kategorien!$A$5:$A$37,0)),"unbekannte Kategorie"))</f>
        <v/>
      </c>
    </row>
    <row r="860" customFormat="false" ht="15" hidden="false" customHeight="false" outlineLevel="0" collapsed="false">
      <c r="A860" s="29"/>
      <c r="B860" s="30"/>
      <c r="C860" s="30"/>
      <c r="D860" s="31"/>
      <c r="E860" s="32" t="str">
        <f aca="false">IF(B860="","",IFERROR(INDEX(Kategorien!$B$5:$B$37,MATCH(B860,Kategorien!$A$5:$A$37,0)),"unbekannte Kategorie"))</f>
        <v/>
      </c>
    </row>
    <row r="861" customFormat="false" ht="15" hidden="false" customHeight="false" outlineLevel="0" collapsed="false">
      <c r="A861" s="29"/>
      <c r="B861" s="30"/>
      <c r="C861" s="30"/>
      <c r="D861" s="31"/>
      <c r="E861" s="32" t="str">
        <f aca="false">IF(B861="","",IFERROR(INDEX(Kategorien!$B$5:$B$37,MATCH(B861,Kategorien!$A$5:$A$37,0)),"unbekannte Kategorie"))</f>
        <v/>
      </c>
    </row>
    <row r="862" customFormat="false" ht="15" hidden="false" customHeight="false" outlineLevel="0" collapsed="false">
      <c r="A862" s="29"/>
      <c r="B862" s="30"/>
      <c r="C862" s="30"/>
      <c r="D862" s="31"/>
      <c r="E862" s="32" t="str">
        <f aca="false">IF(B862="","",IFERROR(INDEX(Kategorien!$B$5:$B$37,MATCH(B862,Kategorien!$A$5:$A$37,0)),"unbekannte Kategorie"))</f>
        <v/>
      </c>
    </row>
    <row r="863" customFormat="false" ht="15" hidden="false" customHeight="false" outlineLevel="0" collapsed="false">
      <c r="A863" s="29"/>
      <c r="B863" s="30"/>
      <c r="C863" s="30"/>
      <c r="D863" s="31"/>
      <c r="E863" s="32" t="str">
        <f aca="false">IF(B863="","",IFERROR(INDEX(Kategorien!$B$5:$B$37,MATCH(B863,Kategorien!$A$5:$A$37,0)),"unbekannte Kategorie"))</f>
        <v/>
      </c>
    </row>
    <row r="864" customFormat="false" ht="15" hidden="false" customHeight="false" outlineLevel="0" collapsed="false">
      <c r="A864" s="29"/>
      <c r="B864" s="30"/>
      <c r="C864" s="30"/>
      <c r="D864" s="31"/>
      <c r="E864" s="32" t="str">
        <f aca="false">IF(B864="","",IFERROR(INDEX(Kategorien!$B$5:$B$37,MATCH(B864,Kategorien!$A$5:$A$37,0)),"unbekannte Kategorie"))</f>
        <v/>
      </c>
    </row>
    <row r="865" customFormat="false" ht="15" hidden="false" customHeight="false" outlineLevel="0" collapsed="false">
      <c r="A865" s="29"/>
      <c r="B865" s="30"/>
      <c r="C865" s="30"/>
      <c r="D865" s="31"/>
      <c r="E865" s="32" t="str">
        <f aca="false">IF(B865="","",IFERROR(INDEX(Kategorien!$B$5:$B$37,MATCH(B865,Kategorien!$A$5:$A$37,0)),"unbekannte Kategorie"))</f>
        <v/>
      </c>
    </row>
    <row r="866" customFormat="false" ht="15" hidden="false" customHeight="false" outlineLevel="0" collapsed="false">
      <c r="A866" s="29"/>
      <c r="B866" s="30"/>
      <c r="C866" s="30"/>
      <c r="D866" s="31"/>
      <c r="E866" s="32" t="str">
        <f aca="false">IF(B866="","",IFERROR(INDEX(Kategorien!$B$5:$B$37,MATCH(B866,Kategorien!$A$5:$A$37,0)),"unbekannte Kategorie"))</f>
        <v/>
      </c>
    </row>
    <row r="867" customFormat="false" ht="15" hidden="false" customHeight="false" outlineLevel="0" collapsed="false">
      <c r="A867" s="29"/>
      <c r="B867" s="30"/>
      <c r="C867" s="30"/>
      <c r="D867" s="31"/>
      <c r="E867" s="32" t="str">
        <f aca="false">IF(B867="","",IFERROR(INDEX(Kategorien!$B$5:$B$37,MATCH(B867,Kategorien!$A$5:$A$37,0)),"unbekannte Kategorie"))</f>
        <v/>
      </c>
    </row>
    <row r="868" customFormat="false" ht="15" hidden="false" customHeight="false" outlineLevel="0" collapsed="false">
      <c r="A868" s="29"/>
      <c r="B868" s="30"/>
      <c r="C868" s="30"/>
      <c r="D868" s="31"/>
      <c r="E868" s="32" t="str">
        <f aca="false">IF(B868="","",IFERROR(INDEX(Kategorien!$B$5:$B$37,MATCH(B868,Kategorien!$A$5:$A$37,0)),"unbekannte Kategorie"))</f>
        <v/>
      </c>
    </row>
    <row r="869" customFormat="false" ht="15" hidden="false" customHeight="false" outlineLevel="0" collapsed="false">
      <c r="A869" s="29"/>
      <c r="B869" s="30"/>
      <c r="C869" s="30"/>
      <c r="D869" s="31"/>
      <c r="E869" s="32" t="str">
        <f aca="false">IF(B869="","",IFERROR(INDEX(Kategorien!$B$5:$B$37,MATCH(B869,Kategorien!$A$5:$A$37,0)),"unbekannte Kategorie"))</f>
        <v/>
      </c>
    </row>
    <row r="870" customFormat="false" ht="15" hidden="false" customHeight="false" outlineLevel="0" collapsed="false">
      <c r="A870" s="29"/>
      <c r="B870" s="30"/>
      <c r="C870" s="30"/>
      <c r="D870" s="31"/>
      <c r="E870" s="32" t="str">
        <f aca="false">IF(B870="","",IFERROR(INDEX(Kategorien!$B$5:$B$37,MATCH(B870,Kategorien!$A$5:$A$37,0)),"unbekannte Kategorie"))</f>
        <v/>
      </c>
    </row>
    <row r="871" customFormat="false" ht="15" hidden="false" customHeight="false" outlineLevel="0" collapsed="false">
      <c r="A871" s="29"/>
      <c r="B871" s="30"/>
      <c r="C871" s="30"/>
      <c r="D871" s="31"/>
      <c r="E871" s="32" t="str">
        <f aca="false">IF(B871="","",IFERROR(INDEX(Kategorien!$B$5:$B$37,MATCH(B871,Kategorien!$A$5:$A$37,0)),"unbekannte Kategorie"))</f>
        <v/>
      </c>
    </row>
    <row r="872" customFormat="false" ht="15" hidden="false" customHeight="false" outlineLevel="0" collapsed="false">
      <c r="A872" s="29"/>
      <c r="B872" s="30"/>
      <c r="C872" s="30"/>
      <c r="D872" s="31"/>
      <c r="E872" s="32" t="str">
        <f aca="false">IF(B872="","",IFERROR(INDEX(Kategorien!$B$5:$B$37,MATCH(B872,Kategorien!$A$5:$A$37,0)),"unbekannte Kategorie"))</f>
        <v/>
      </c>
    </row>
    <row r="873" customFormat="false" ht="15" hidden="false" customHeight="false" outlineLevel="0" collapsed="false">
      <c r="A873" s="29"/>
      <c r="B873" s="30"/>
      <c r="C873" s="30"/>
      <c r="D873" s="31"/>
      <c r="E873" s="32" t="str">
        <f aca="false">IF(B873="","",IFERROR(INDEX(Kategorien!$B$5:$B$37,MATCH(B873,Kategorien!$A$5:$A$37,0)),"unbekannte Kategorie"))</f>
        <v/>
      </c>
    </row>
    <row r="874" customFormat="false" ht="15" hidden="false" customHeight="false" outlineLevel="0" collapsed="false">
      <c r="A874" s="29"/>
      <c r="B874" s="30"/>
      <c r="C874" s="30"/>
      <c r="D874" s="31"/>
      <c r="E874" s="32" t="str">
        <f aca="false">IF(B874="","",IFERROR(INDEX(Kategorien!$B$5:$B$37,MATCH(B874,Kategorien!$A$5:$A$37,0)),"unbekannte Kategorie"))</f>
        <v/>
      </c>
    </row>
    <row r="875" customFormat="false" ht="15" hidden="false" customHeight="false" outlineLevel="0" collapsed="false">
      <c r="A875" s="29"/>
      <c r="B875" s="30"/>
      <c r="C875" s="30"/>
      <c r="D875" s="31"/>
      <c r="E875" s="32" t="str">
        <f aca="false">IF(B875="","",IFERROR(INDEX(Kategorien!$B$5:$B$37,MATCH(B875,Kategorien!$A$5:$A$37,0)),"unbekannte Kategorie"))</f>
        <v/>
      </c>
    </row>
    <row r="876" customFormat="false" ht="15" hidden="false" customHeight="false" outlineLevel="0" collapsed="false">
      <c r="A876" s="29"/>
      <c r="B876" s="30"/>
      <c r="C876" s="30"/>
      <c r="D876" s="31"/>
      <c r="E876" s="32" t="str">
        <f aca="false">IF(B876="","",IFERROR(INDEX(Kategorien!$B$5:$B$37,MATCH(B876,Kategorien!$A$5:$A$37,0)),"unbekannte Kategorie"))</f>
        <v/>
      </c>
    </row>
    <row r="877" customFormat="false" ht="15" hidden="false" customHeight="false" outlineLevel="0" collapsed="false">
      <c r="A877" s="29"/>
      <c r="B877" s="30"/>
      <c r="C877" s="30"/>
      <c r="D877" s="31"/>
      <c r="E877" s="32" t="str">
        <f aca="false">IF(B877="","",IFERROR(INDEX(Kategorien!$B$5:$B$37,MATCH(B877,Kategorien!$A$5:$A$37,0)),"unbekannte Kategorie"))</f>
        <v/>
      </c>
    </row>
    <row r="878" customFormat="false" ht="15" hidden="false" customHeight="false" outlineLevel="0" collapsed="false">
      <c r="A878" s="29"/>
      <c r="B878" s="30"/>
      <c r="C878" s="30"/>
      <c r="D878" s="31"/>
      <c r="E878" s="32" t="str">
        <f aca="false">IF(B878="","",IFERROR(INDEX(Kategorien!$B$5:$B$37,MATCH(B878,Kategorien!$A$5:$A$37,0)),"unbekannte Kategorie"))</f>
        <v/>
      </c>
    </row>
    <row r="879" customFormat="false" ht="15" hidden="false" customHeight="false" outlineLevel="0" collapsed="false">
      <c r="A879" s="29"/>
      <c r="B879" s="30"/>
      <c r="C879" s="30"/>
      <c r="D879" s="31"/>
      <c r="E879" s="32" t="str">
        <f aca="false">IF(B879="","",IFERROR(INDEX(Kategorien!$B$5:$B$37,MATCH(B879,Kategorien!$A$5:$A$37,0)),"unbekannte Kategorie"))</f>
        <v/>
      </c>
    </row>
    <row r="880" customFormat="false" ht="15" hidden="false" customHeight="false" outlineLevel="0" collapsed="false">
      <c r="A880" s="29"/>
      <c r="B880" s="30"/>
      <c r="C880" s="30"/>
      <c r="D880" s="31"/>
      <c r="E880" s="32" t="str">
        <f aca="false">IF(B880="","",IFERROR(INDEX(Kategorien!$B$5:$B$37,MATCH(B880,Kategorien!$A$5:$A$37,0)),"unbekannte Kategorie"))</f>
        <v/>
      </c>
    </row>
    <row r="881" customFormat="false" ht="15" hidden="false" customHeight="false" outlineLevel="0" collapsed="false">
      <c r="A881" s="29"/>
      <c r="B881" s="30"/>
      <c r="C881" s="30"/>
      <c r="D881" s="31"/>
      <c r="E881" s="32" t="str">
        <f aca="false">IF(B881="","",IFERROR(INDEX(Kategorien!$B$5:$B$37,MATCH(B881,Kategorien!$A$5:$A$37,0)),"unbekannte Kategorie"))</f>
        <v/>
      </c>
    </row>
    <row r="882" customFormat="false" ht="15" hidden="false" customHeight="false" outlineLevel="0" collapsed="false">
      <c r="A882" s="29"/>
      <c r="B882" s="30"/>
      <c r="C882" s="30"/>
      <c r="D882" s="31"/>
      <c r="E882" s="32" t="str">
        <f aca="false">IF(B882="","",IFERROR(INDEX(Kategorien!$B$5:$B$37,MATCH(B882,Kategorien!$A$5:$A$37,0)),"unbekannte Kategorie"))</f>
        <v/>
      </c>
    </row>
    <row r="883" customFormat="false" ht="15" hidden="false" customHeight="false" outlineLevel="0" collapsed="false">
      <c r="A883" s="29"/>
      <c r="B883" s="30"/>
      <c r="C883" s="30"/>
      <c r="D883" s="31"/>
      <c r="E883" s="32" t="str">
        <f aca="false">IF(B883="","",IFERROR(INDEX(Kategorien!$B$5:$B$37,MATCH(B883,Kategorien!$A$5:$A$37,0)),"unbekannte Kategorie"))</f>
        <v/>
      </c>
    </row>
    <row r="884" customFormat="false" ht="15" hidden="false" customHeight="false" outlineLevel="0" collapsed="false">
      <c r="A884" s="29"/>
      <c r="B884" s="30"/>
      <c r="C884" s="30"/>
      <c r="D884" s="31"/>
      <c r="E884" s="32" t="str">
        <f aca="false">IF(B884="","",IFERROR(INDEX(Kategorien!$B$5:$B$37,MATCH(B884,Kategorien!$A$5:$A$37,0)),"unbekannte Kategorie"))</f>
        <v/>
      </c>
    </row>
    <row r="885" customFormat="false" ht="15" hidden="false" customHeight="false" outlineLevel="0" collapsed="false">
      <c r="A885" s="29"/>
      <c r="B885" s="30"/>
      <c r="C885" s="30"/>
      <c r="D885" s="31"/>
      <c r="E885" s="32" t="str">
        <f aca="false">IF(B885="","",IFERROR(INDEX(Kategorien!$B$5:$B$37,MATCH(B885,Kategorien!$A$5:$A$37,0)),"unbekannte Kategorie"))</f>
        <v/>
      </c>
    </row>
    <row r="886" customFormat="false" ht="15" hidden="false" customHeight="false" outlineLevel="0" collapsed="false">
      <c r="A886" s="29"/>
      <c r="B886" s="30"/>
      <c r="C886" s="30"/>
      <c r="D886" s="31"/>
      <c r="E886" s="32" t="str">
        <f aca="false">IF(B886="","",IFERROR(INDEX(Kategorien!$B$5:$B$37,MATCH(B886,Kategorien!$A$5:$A$37,0)),"unbekannte Kategorie"))</f>
        <v/>
      </c>
    </row>
    <row r="887" customFormat="false" ht="15" hidden="false" customHeight="false" outlineLevel="0" collapsed="false">
      <c r="A887" s="29"/>
      <c r="B887" s="30"/>
      <c r="C887" s="30"/>
      <c r="D887" s="31"/>
      <c r="E887" s="32" t="str">
        <f aca="false">IF(B887="","",IFERROR(INDEX(Kategorien!$B$5:$B$37,MATCH(B887,Kategorien!$A$5:$A$37,0)),"unbekannte Kategorie"))</f>
        <v/>
      </c>
    </row>
    <row r="888" customFormat="false" ht="15" hidden="false" customHeight="false" outlineLevel="0" collapsed="false">
      <c r="A888" s="29"/>
      <c r="B888" s="30"/>
      <c r="C888" s="30"/>
      <c r="D888" s="31"/>
      <c r="E888" s="32" t="str">
        <f aca="false">IF(B888="","",IFERROR(INDEX(Kategorien!$B$5:$B$37,MATCH(B888,Kategorien!$A$5:$A$37,0)),"unbekannte Kategorie"))</f>
        <v/>
      </c>
    </row>
    <row r="889" customFormat="false" ht="15" hidden="false" customHeight="false" outlineLevel="0" collapsed="false">
      <c r="A889" s="29"/>
      <c r="B889" s="30"/>
      <c r="C889" s="30"/>
      <c r="D889" s="31"/>
      <c r="E889" s="32" t="str">
        <f aca="false">IF(B889="","",IFERROR(INDEX(Kategorien!$B$5:$B$37,MATCH(B889,Kategorien!$A$5:$A$37,0)),"unbekannte Kategorie"))</f>
        <v/>
      </c>
    </row>
    <row r="890" customFormat="false" ht="15" hidden="false" customHeight="false" outlineLevel="0" collapsed="false">
      <c r="A890" s="29"/>
      <c r="B890" s="30"/>
      <c r="C890" s="30"/>
      <c r="D890" s="31"/>
      <c r="E890" s="32" t="str">
        <f aca="false">IF(B890="","",IFERROR(INDEX(Kategorien!$B$5:$B$37,MATCH(B890,Kategorien!$A$5:$A$37,0)),"unbekannte Kategorie"))</f>
        <v/>
      </c>
    </row>
    <row r="891" customFormat="false" ht="15" hidden="false" customHeight="false" outlineLevel="0" collapsed="false">
      <c r="A891" s="29"/>
      <c r="B891" s="30"/>
      <c r="C891" s="30"/>
      <c r="D891" s="31"/>
      <c r="E891" s="32" t="str">
        <f aca="false">IF(B891="","",IFERROR(INDEX(Kategorien!$B$5:$B$37,MATCH(B891,Kategorien!$A$5:$A$37,0)),"unbekannte Kategorie"))</f>
        <v/>
      </c>
    </row>
    <row r="892" customFormat="false" ht="15" hidden="false" customHeight="false" outlineLevel="0" collapsed="false">
      <c r="A892" s="29"/>
      <c r="B892" s="30"/>
      <c r="C892" s="30"/>
      <c r="D892" s="31"/>
      <c r="E892" s="32" t="str">
        <f aca="false">IF(B892="","",IFERROR(INDEX(Kategorien!$B$5:$B$37,MATCH(B892,Kategorien!$A$5:$A$37,0)),"unbekannte Kategorie"))</f>
        <v/>
      </c>
    </row>
    <row r="893" customFormat="false" ht="15" hidden="false" customHeight="false" outlineLevel="0" collapsed="false">
      <c r="A893" s="29"/>
      <c r="B893" s="30"/>
      <c r="C893" s="30"/>
      <c r="D893" s="31"/>
      <c r="E893" s="32" t="str">
        <f aca="false">IF(B893="","",IFERROR(INDEX(Kategorien!$B$5:$B$37,MATCH(B893,Kategorien!$A$5:$A$37,0)),"unbekannte Kategorie"))</f>
        <v/>
      </c>
    </row>
    <row r="894" customFormat="false" ht="15" hidden="false" customHeight="false" outlineLevel="0" collapsed="false">
      <c r="A894" s="29"/>
      <c r="B894" s="30"/>
      <c r="C894" s="30"/>
      <c r="D894" s="31"/>
      <c r="E894" s="32" t="str">
        <f aca="false">IF(B894="","",IFERROR(INDEX(Kategorien!$B$5:$B$37,MATCH(B894,Kategorien!$A$5:$A$37,0)),"unbekannte Kategorie"))</f>
        <v/>
      </c>
    </row>
    <row r="895" customFormat="false" ht="15" hidden="false" customHeight="false" outlineLevel="0" collapsed="false">
      <c r="A895" s="29"/>
      <c r="B895" s="30"/>
      <c r="C895" s="30"/>
      <c r="D895" s="31"/>
      <c r="E895" s="32" t="str">
        <f aca="false">IF(B895="","",IFERROR(INDEX(Kategorien!$B$5:$B$37,MATCH(B895,Kategorien!$A$5:$A$37,0)),"unbekannte Kategorie"))</f>
        <v/>
      </c>
    </row>
    <row r="896" customFormat="false" ht="15" hidden="false" customHeight="false" outlineLevel="0" collapsed="false">
      <c r="A896" s="29"/>
      <c r="B896" s="30"/>
      <c r="C896" s="30"/>
      <c r="D896" s="31"/>
      <c r="E896" s="32" t="str">
        <f aca="false">IF(B896="","",IFERROR(INDEX(Kategorien!$B$5:$B$37,MATCH(B896,Kategorien!$A$5:$A$37,0)),"unbekannte Kategorie"))</f>
        <v/>
      </c>
    </row>
    <row r="897" customFormat="false" ht="15" hidden="false" customHeight="false" outlineLevel="0" collapsed="false">
      <c r="A897" s="29"/>
      <c r="B897" s="30"/>
      <c r="C897" s="30"/>
      <c r="D897" s="31"/>
      <c r="E897" s="32" t="str">
        <f aca="false">IF(B897="","",IFERROR(INDEX(Kategorien!$B$5:$B$37,MATCH(B897,Kategorien!$A$5:$A$37,0)),"unbekannte Kategorie"))</f>
        <v/>
      </c>
    </row>
    <row r="898" customFormat="false" ht="15" hidden="false" customHeight="false" outlineLevel="0" collapsed="false">
      <c r="A898" s="29"/>
      <c r="B898" s="30"/>
      <c r="C898" s="30"/>
      <c r="D898" s="31"/>
      <c r="E898" s="32" t="str">
        <f aca="false">IF(B898="","",IFERROR(INDEX(Kategorien!$B$5:$B$37,MATCH(B898,Kategorien!$A$5:$A$37,0)),"unbekannte Kategorie"))</f>
        <v/>
      </c>
    </row>
    <row r="899" customFormat="false" ht="15" hidden="false" customHeight="false" outlineLevel="0" collapsed="false">
      <c r="A899" s="29"/>
      <c r="B899" s="30"/>
      <c r="C899" s="30"/>
      <c r="D899" s="31"/>
      <c r="E899" s="32" t="str">
        <f aca="false">IF(B899="","",IFERROR(INDEX(Kategorien!$B$5:$B$37,MATCH(B899,Kategorien!$A$5:$A$37,0)),"unbekannte Kategorie"))</f>
        <v/>
      </c>
    </row>
    <row r="900" customFormat="false" ht="15" hidden="false" customHeight="false" outlineLevel="0" collapsed="false">
      <c r="A900" s="29"/>
      <c r="B900" s="30"/>
      <c r="C900" s="30"/>
      <c r="D900" s="31"/>
      <c r="E900" s="32" t="str">
        <f aca="false">IF(B900="","",IFERROR(INDEX(Kategorien!$B$5:$B$37,MATCH(B900,Kategorien!$A$5:$A$37,0)),"unbekannte Kategorie"))</f>
        <v/>
      </c>
    </row>
    <row r="901" customFormat="false" ht="15" hidden="false" customHeight="false" outlineLevel="0" collapsed="false">
      <c r="A901" s="29"/>
      <c r="B901" s="30"/>
      <c r="C901" s="30"/>
      <c r="D901" s="31"/>
      <c r="E901" s="32" t="str">
        <f aca="false">IF(B901="","",IFERROR(INDEX(Kategorien!$B$5:$B$37,MATCH(B901,Kategorien!$A$5:$A$37,0)),"unbekannte Kategorie"))</f>
        <v/>
      </c>
    </row>
    <row r="902" customFormat="false" ht="15" hidden="false" customHeight="false" outlineLevel="0" collapsed="false">
      <c r="A902" s="29"/>
      <c r="B902" s="30"/>
      <c r="C902" s="30"/>
      <c r="D902" s="31"/>
      <c r="E902" s="32" t="str">
        <f aca="false">IF(B902="","",IFERROR(INDEX(Kategorien!$B$5:$B$37,MATCH(B902,Kategorien!$A$5:$A$37,0)),"unbekannte Kategorie"))</f>
        <v/>
      </c>
    </row>
    <row r="903" customFormat="false" ht="15" hidden="false" customHeight="false" outlineLevel="0" collapsed="false">
      <c r="A903" s="29"/>
      <c r="B903" s="30"/>
      <c r="C903" s="30"/>
      <c r="D903" s="31"/>
      <c r="E903" s="32" t="str">
        <f aca="false">IF(B903="","",IFERROR(INDEX(Kategorien!$B$5:$B$37,MATCH(B903,Kategorien!$A$5:$A$37,0)),"unbekannte Kategorie"))</f>
        <v/>
      </c>
    </row>
    <row r="904" customFormat="false" ht="15" hidden="false" customHeight="false" outlineLevel="0" collapsed="false">
      <c r="A904" s="29"/>
      <c r="B904" s="30"/>
      <c r="C904" s="30"/>
      <c r="D904" s="31"/>
      <c r="E904" s="32" t="str">
        <f aca="false">IF(B904="","",IFERROR(INDEX(Kategorien!$B$5:$B$37,MATCH(B904,Kategorien!$A$5:$A$37,0)),"unbekannte Kategorie"))</f>
        <v/>
      </c>
    </row>
    <row r="905" customFormat="false" ht="15" hidden="false" customHeight="false" outlineLevel="0" collapsed="false">
      <c r="A905" s="29"/>
      <c r="B905" s="30"/>
      <c r="C905" s="30"/>
      <c r="D905" s="31"/>
      <c r="E905" s="32" t="str">
        <f aca="false">IF(B905="","",IFERROR(INDEX(Kategorien!$B$5:$B$37,MATCH(B905,Kategorien!$A$5:$A$37,0)),"unbekannte Kategorie"))</f>
        <v/>
      </c>
    </row>
    <row r="906" customFormat="false" ht="15" hidden="false" customHeight="false" outlineLevel="0" collapsed="false">
      <c r="A906" s="29"/>
      <c r="B906" s="30"/>
      <c r="C906" s="30"/>
      <c r="D906" s="31"/>
      <c r="E906" s="32" t="str">
        <f aca="false">IF(B906="","",IFERROR(INDEX(Kategorien!$B$5:$B$37,MATCH(B906,Kategorien!$A$5:$A$37,0)),"unbekannte Kategorie"))</f>
        <v/>
      </c>
    </row>
    <row r="907" customFormat="false" ht="15" hidden="false" customHeight="false" outlineLevel="0" collapsed="false">
      <c r="A907" s="29"/>
      <c r="B907" s="30"/>
      <c r="C907" s="30"/>
      <c r="D907" s="31"/>
      <c r="E907" s="32" t="str">
        <f aca="false">IF(B907="","",IFERROR(INDEX(Kategorien!$B$5:$B$37,MATCH(B907,Kategorien!$A$5:$A$37,0)),"unbekannte Kategorie"))</f>
        <v/>
      </c>
    </row>
    <row r="908" customFormat="false" ht="15" hidden="false" customHeight="false" outlineLevel="0" collapsed="false">
      <c r="A908" s="29"/>
      <c r="B908" s="30"/>
      <c r="C908" s="30"/>
      <c r="D908" s="31"/>
      <c r="E908" s="32" t="str">
        <f aca="false">IF(B908="","",IFERROR(INDEX(Kategorien!$B$5:$B$37,MATCH(B908,Kategorien!$A$5:$A$37,0)),"unbekannte Kategorie"))</f>
        <v/>
      </c>
    </row>
    <row r="909" customFormat="false" ht="15" hidden="false" customHeight="false" outlineLevel="0" collapsed="false">
      <c r="A909" s="29"/>
      <c r="B909" s="30"/>
      <c r="C909" s="30"/>
      <c r="D909" s="31"/>
      <c r="E909" s="32" t="str">
        <f aca="false">IF(B909="","",IFERROR(INDEX(Kategorien!$B$5:$B$37,MATCH(B909,Kategorien!$A$5:$A$37,0)),"unbekannte Kategorie"))</f>
        <v/>
      </c>
    </row>
    <row r="910" customFormat="false" ht="15" hidden="false" customHeight="false" outlineLevel="0" collapsed="false">
      <c r="A910" s="29"/>
      <c r="B910" s="30"/>
      <c r="C910" s="30"/>
      <c r="D910" s="31"/>
      <c r="E910" s="32" t="str">
        <f aca="false">IF(B910="","",IFERROR(INDEX(Kategorien!$B$5:$B$37,MATCH(B910,Kategorien!$A$5:$A$37,0)),"unbekannte Kategorie"))</f>
        <v/>
      </c>
    </row>
    <row r="911" customFormat="false" ht="15" hidden="false" customHeight="false" outlineLevel="0" collapsed="false">
      <c r="A911" s="29"/>
      <c r="B911" s="30"/>
      <c r="C911" s="30"/>
      <c r="D911" s="31"/>
      <c r="E911" s="32" t="str">
        <f aca="false">IF(B911="","",IFERROR(INDEX(Kategorien!$B$5:$B$37,MATCH(B911,Kategorien!$A$5:$A$37,0)),"unbekannte Kategorie"))</f>
        <v/>
      </c>
    </row>
    <row r="912" customFormat="false" ht="15" hidden="false" customHeight="false" outlineLevel="0" collapsed="false">
      <c r="A912" s="29"/>
      <c r="B912" s="30"/>
      <c r="C912" s="30"/>
      <c r="D912" s="31"/>
      <c r="E912" s="32" t="str">
        <f aca="false">IF(B912="","",IFERROR(INDEX(Kategorien!$B$5:$B$37,MATCH(B912,Kategorien!$A$5:$A$37,0)),"unbekannte Kategorie"))</f>
        <v/>
      </c>
    </row>
    <row r="913" customFormat="false" ht="15" hidden="false" customHeight="false" outlineLevel="0" collapsed="false">
      <c r="A913" s="29"/>
      <c r="B913" s="30"/>
      <c r="C913" s="30"/>
      <c r="D913" s="31"/>
      <c r="E913" s="32" t="str">
        <f aca="false">IF(B913="","",IFERROR(INDEX(Kategorien!$B$5:$B$37,MATCH(B913,Kategorien!$A$5:$A$37,0)),"unbekannte Kategorie"))</f>
        <v/>
      </c>
    </row>
    <row r="914" customFormat="false" ht="15" hidden="false" customHeight="false" outlineLevel="0" collapsed="false">
      <c r="A914" s="29"/>
      <c r="B914" s="30"/>
      <c r="C914" s="30"/>
      <c r="D914" s="31"/>
      <c r="E914" s="32" t="str">
        <f aca="false">IF(B914="","",IFERROR(INDEX(Kategorien!$B$5:$B$37,MATCH(B914,Kategorien!$A$5:$A$37,0)),"unbekannte Kategorie"))</f>
        <v/>
      </c>
    </row>
    <row r="915" customFormat="false" ht="15" hidden="false" customHeight="false" outlineLevel="0" collapsed="false">
      <c r="A915" s="29"/>
      <c r="B915" s="30"/>
      <c r="C915" s="30"/>
      <c r="D915" s="31"/>
      <c r="E915" s="32" t="str">
        <f aca="false">IF(B915="","",IFERROR(INDEX(Kategorien!$B$5:$B$37,MATCH(B915,Kategorien!$A$5:$A$37,0)),"unbekannte Kategorie"))</f>
        <v/>
      </c>
    </row>
    <row r="916" customFormat="false" ht="15" hidden="false" customHeight="false" outlineLevel="0" collapsed="false">
      <c r="A916" s="29"/>
      <c r="B916" s="30"/>
      <c r="C916" s="30"/>
      <c r="D916" s="31"/>
      <c r="E916" s="32" t="str">
        <f aca="false">IF(B916="","",IFERROR(INDEX(Kategorien!$B$5:$B$37,MATCH(B916,Kategorien!$A$5:$A$37,0)),"unbekannte Kategorie"))</f>
        <v/>
      </c>
    </row>
    <row r="917" customFormat="false" ht="15" hidden="false" customHeight="false" outlineLevel="0" collapsed="false">
      <c r="A917" s="29"/>
      <c r="B917" s="30"/>
      <c r="C917" s="30"/>
      <c r="D917" s="31"/>
      <c r="E917" s="32" t="str">
        <f aca="false">IF(B917="","",IFERROR(INDEX(Kategorien!$B$5:$B$37,MATCH(B917,Kategorien!$A$5:$A$37,0)),"unbekannte Kategorie"))</f>
        <v/>
      </c>
    </row>
    <row r="918" customFormat="false" ht="15" hidden="false" customHeight="false" outlineLevel="0" collapsed="false">
      <c r="A918" s="29"/>
      <c r="B918" s="30"/>
      <c r="C918" s="30"/>
      <c r="D918" s="31"/>
      <c r="E918" s="32" t="str">
        <f aca="false">IF(B918="","",IFERROR(INDEX(Kategorien!$B$5:$B$37,MATCH(B918,Kategorien!$A$5:$A$37,0)),"unbekannte Kategorie"))</f>
        <v/>
      </c>
    </row>
    <row r="919" customFormat="false" ht="15" hidden="false" customHeight="false" outlineLevel="0" collapsed="false">
      <c r="A919" s="29"/>
      <c r="B919" s="30"/>
      <c r="C919" s="30"/>
      <c r="D919" s="31"/>
      <c r="E919" s="32" t="str">
        <f aca="false">IF(B919="","",IFERROR(INDEX(Kategorien!$B$5:$B$37,MATCH(B919,Kategorien!$A$5:$A$37,0)),"unbekannte Kategorie"))</f>
        <v/>
      </c>
    </row>
    <row r="920" customFormat="false" ht="15" hidden="false" customHeight="false" outlineLevel="0" collapsed="false">
      <c r="A920" s="29"/>
      <c r="B920" s="30"/>
      <c r="C920" s="30"/>
      <c r="D920" s="31"/>
      <c r="E920" s="32" t="str">
        <f aca="false">IF(B920="","",IFERROR(INDEX(Kategorien!$B$5:$B$37,MATCH(B920,Kategorien!$A$5:$A$37,0)),"unbekannte Kategorie"))</f>
        <v/>
      </c>
    </row>
    <row r="921" customFormat="false" ht="15" hidden="false" customHeight="false" outlineLevel="0" collapsed="false">
      <c r="A921" s="29"/>
      <c r="B921" s="30"/>
      <c r="C921" s="30"/>
      <c r="D921" s="31"/>
      <c r="E921" s="32" t="str">
        <f aca="false">IF(B921="","",IFERROR(INDEX(Kategorien!$B$5:$B$37,MATCH(B921,Kategorien!$A$5:$A$37,0)),"unbekannte Kategorie"))</f>
        <v/>
      </c>
    </row>
    <row r="922" customFormat="false" ht="15" hidden="false" customHeight="false" outlineLevel="0" collapsed="false">
      <c r="A922" s="29"/>
      <c r="B922" s="30"/>
      <c r="C922" s="30"/>
      <c r="D922" s="31"/>
      <c r="E922" s="32" t="str">
        <f aca="false">IF(B922="","",IFERROR(INDEX(Kategorien!$B$5:$B$37,MATCH(B922,Kategorien!$A$5:$A$37,0)),"unbekannte Kategorie"))</f>
        <v/>
      </c>
    </row>
    <row r="923" customFormat="false" ht="15" hidden="false" customHeight="false" outlineLevel="0" collapsed="false">
      <c r="A923" s="29"/>
      <c r="B923" s="30"/>
      <c r="C923" s="30"/>
      <c r="D923" s="31"/>
      <c r="E923" s="32" t="str">
        <f aca="false">IF(B923="","",IFERROR(INDEX(Kategorien!$B$5:$B$37,MATCH(B923,Kategorien!$A$5:$A$37,0)),"unbekannte Kategorie"))</f>
        <v/>
      </c>
    </row>
    <row r="924" customFormat="false" ht="15" hidden="false" customHeight="false" outlineLevel="0" collapsed="false">
      <c r="A924" s="29"/>
      <c r="B924" s="30"/>
      <c r="C924" s="30"/>
      <c r="D924" s="31"/>
      <c r="E924" s="32" t="str">
        <f aca="false">IF(B924="","",IFERROR(INDEX(Kategorien!$B$5:$B$37,MATCH(B924,Kategorien!$A$5:$A$37,0)),"unbekannte Kategorie"))</f>
        <v/>
      </c>
    </row>
    <row r="925" customFormat="false" ht="15" hidden="false" customHeight="false" outlineLevel="0" collapsed="false">
      <c r="A925" s="29"/>
      <c r="B925" s="30"/>
      <c r="C925" s="30"/>
      <c r="D925" s="31"/>
      <c r="E925" s="32" t="str">
        <f aca="false">IF(B925="","",IFERROR(INDEX(Kategorien!$B$5:$B$37,MATCH(B925,Kategorien!$A$5:$A$37,0)),"unbekannte Kategorie"))</f>
        <v/>
      </c>
    </row>
    <row r="926" customFormat="false" ht="15" hidden="false" customHeight="false" outlineLevel="0" collapsed="false">
      <c r="A926" s="29"/>
      <c r="B926" s="30"/>
      <c r="C926" s="30"/>
      <c r="D926" s="31"/>
      <c r="E926" s="32" t="str">
        <f aca="false">IF(B926="","",IFERROR(INDEX(Kategorien!$B$5:$B$37,MATCH(B926,Kategorien!$A$5:$A$37,0)),"unbekannte Kategorie"))</f>
        <v/>
      </c>
    </row>
    <row r="927" customFormat="false" ht="15" hidden="false" customHeight="false" outlineLevel="0" collapsed="false">
      <c r="A927" s="29"/>
      <c r="B927" s="30"/>
      <c r="C927" s="30"/>
      <c r="D927" s="31"/>
      <c r="E927" s="32" t="str">
        <f aca="false">IF(B927="","",IFERROR(INDEX(Kategorien!$B$5:$B$37,MATCH(B927,Kategorien!$A$5:$A$37,0)),"unbekannte Kategorie"))</f>
        <v/>
      </c>
    </row>
    <row r="928" customFormat="false" ht="15" hidden="false" customHeight="false" outlineLevel="0" collapsed="false">
      <c r="A928" s="29"/>
      <c r="B928" s="30"/>
      <c r="C928" s="30"/>
      <c r="D928" s="31"/>
      <c r="E928" s="32" t="str">
        <f aca="false">IF(B928="","",IFERROR(INDEX(Kategorien!$B$5:$B$37,MATCH(B928,Kategorien!$A$5:$A$37,0)),"unbekannte Kategorie"))</f>
        <v/>
      </c>
    </row>
    <row r="929" customFormat="false" ht="15" hidden="false" customHeight="false" outlineLevel="0" collapsed="false">
      <c r="A929" s="29"/>
      <c r="B929" s="30"/>
      <c r="C929" s="30"/>
      <c r="D929" s="31"/>
      <c r="E929" s="32" t="str">
        <f aca="false">IF(B929="","",IFERROR(INDEX(Kategorien!$B$5:$B$37,MATCH(B929,Kategorien!$A$5:$A$37,0)),"unbekannte Kategorie"))</f>
        <v/>
      </c>
    </row>
    <row r="930" customFormat="false" ht="15" hidden="false" customHeight="false" outlineLevel="0" collapsed="false">
      <c r="A930" s="29"/>
      <c r="B930" s="30"/>
      <c r="C930" s="30"/>
      <c r="D930" s="31"/>
      <c r="E930" s="32" t="str">
        <f aca="false">IF(B930="","",IFERROR(INDEX(Kategorien!$B$5:$B$37,MATCH(B930,Kategorien!$A$5:$A$37,0)),"unbekannte Kategorie"))</f>
        <v/>
      </c>
    </row>
    <row r="931" customFormat="false" ht="15" hidden="false" customHeight="false" outlineLevel="0" collapsed="false">
      <c r="A931" s="29"/>
      <c r="B931" s="30"/>
      <c r="C931" s="30"/>
      <c r="D931" s="31"/>
      <c r="E931" s="32" t="str">
        <f aca="false">IF(B931="","",IFERROR(INDEX(Kategorien!$B$5:$B$37,MATCH(B931,Kategorien!$A$5:$A$37,0)),"unbekannte Kategorie"))</f>
        <v/>
      </c>
    </row>
    <row r="932" customFormat="false" ht="15" hidden="false" customHeight="false" outlineLevel="0" collapsed="false">
      <c r="A932" s="29"/>
      <c r="B932" s="30"/>
      <c r="C932" s="30"/>
      <c r="D932" s="31"/>
      <c r="E932" s="32" t="str">
        <f aca="false">IF(B932="","",IFERROR(INDEX(Kategorien!$B$5:$B$37,MATCH(B932,Kategorien!$A$5:$A$37,0)),"unbekannte Kategorie"))</f>
        <v/>
      </c>
    </row>
    <row r="933" customFormat="false" ht="15" hidden="false" customHeight="false" outlineLevel="0" collapsed="false">
      <c r="A933" s="29"/>
      <c r="B933" s="30"/>
      <c r="C933" s="30"/>
      <c r="D933" s="31"/>
      <c r="E933" s="32" t="str">
        <f aca="false">IF(B933="","",IFERROR(INDEX(Kategorien!$B$5:$B$37,MATCH(B933,Kategorien!$A$5:$A$37,0)),"unbekannte Kategorie"))</f>
        <v/>
      </c>
    </row>
    <row r="934" customFormat="false" ht="15" hidden="false" customHeight="false" outlineLevel="0" collapsed="false">
      <c r="A934" s="29"/>
      <c r="B934" s="30"/>
      <c r="C934" s="30"/>
      <c r="D934" s="31"/>
      <c r="E934" s="32" t="str">
        <f aca="false">IF(B934="","",IFERROR(INDEX(Kategorien!$B$5:$B$37,MATCH(B934,Kategorien!$A$5:$A$37,0)),"unbekannte Kategorie"))</f>
        <v/>
      </c>
    </row>
    <row r="935" customFormat="false" ht="15" hidden="false" customHeight="false" outlineLevel="0" collapsed="false">
      <c r="A935" s="29"/>
      <c r="B935" s="30"/>
      <c r="C935" s="30"/>
      <c r="D935" s="31"/>
      <c r="E935" s="32" t="str">
        <f aca="false">IF(B935="","",IFERROR(INDEX(Kategorien!$B$5:$B$37,MATCH(B935,Kategorien!$A$5:$A$37,0)),"unbekannte Kategorie"))</f>
        <v/>
      </c>
    </row>
    <row r="936" customFormat="false" ht="15" hidden="false" customHeight="false" outlineLevel="0" collapsed="false">
      <c r="A936" s="29"/>
      <c r="B936" s="30"/>
      <c r="C936" s="30"/>
      <c r="D936" s="31"/>
      <c r="E936" s="32" t="str">
        <f aca="false">IF(B936="","",IFERROR(INDEX(Kategorien!$B$5:$B$37,MATCH(B936,Kategorien!$A$5:$A$37,0)),"unbekannte Kategorie"))</f>
        <v/>
      </c>
    </row>
    <row r="937" customFormat="false" ht="15" hidden="false" customHeight="false" outlineLevel="0" collapsed="false">
      <c r="A937" s="29"/>
      <c r="B937" s="30"/>
      <c r="C937" s="30"/>
      <c r="D937" s="31"/>
      <c r="E937" s="32" t="str">
        <f aca="false">IF(B937="","",IFERROR(INDEX(Kategorien!$B$5:$B$37,MATCH(B937,Kategorien!$A$5:$A$37,0)),"unbekannte Kategorie"))</f>
        <v/>
      </c>
    </row>
    <row r="938" customFormat="false" ht="15" hidden="false" customHeight="false" outlineLevel="0" collapsed="false">
      <c r="A938" s="29"/>
      <c r="B938" s="30"/>
      <c r="C938" s="30"/>
      <c r="D938" s="31"/>
      <c r="E938" s="32" t="str">
        <f aca="false">IF(B938="","",IFERROR(INDEX(Kategorien!$B$5:$B$37,MATCH(B938,Kategorien!$A$5:$A$37,0)),"unbekannte Kategorie"))</f>
        <v/>
      </c>
    </row>
    <row r="939" customFormat="false" ht="15" hidden="false" customHeight="false" outlineLevel="0" collapsed="false">
      <c r="A939" s="29"/>
      <c r="B939" s="30"/>
      <c r="C939" s="30"/>
      <c r="D939" s="31"/>
      <c r="E939" s="32" t="str">
        <f aca="false">IF(B939="","",IFERROR(INDEX(Kategorien!$B$5:$B$37,MATCH(B939,Kategorien!$A$5:$A$37,0)),"unbekannte Kategorie"))</f>
        <v/>
      </c>
    </row>
    <row r="940" customFormat="false" ht="15" hidden="false" customHeight="false" outlineLevel="0" collapsed="false">
      <c r="A940" s="29"/>
      <c r="B940" s="30"/>
      <c r="C940" s="30"/>
      <c r="D940" s="31"/>
      <c r="E940" s="32" t="str">
        <f aca="false">IF(B940="","",IFERROR(INDEX(Kategorien!$B$5:$B$37,MATCH(B940,Kategorien!$A$5:$A$37,0)),"unbekannte Kategorie"))</f>
        <v/>
      </c>
    </row>
    <row r="941" customFormat="false" ht="15" hidden="false" customHeight="false" outlineLevel="0" collapsed="false">
      <c r="A941" s="29"/>
      <c r="B941" s="30"/>
      <c r="C941" s="30"/>
      <c r="D941" s="31"/>
      <c r="E941" s="32" t="str">
        <f aca="false">IF(B941="","",IFERROR(INDEX(Kategorien!$B$5:$B$37,MATCH(B941,Kategorien!$A$5:$A$37,0)),"unbekannte Kategorie"))</f>
        <v/>
      </c>
    </row>
    <row r="942" customFormat="false" ht="15" hidden="false" customHeight="false" outlineLevel="0" collapsed="false">
      <c r="A942" s="29"/>
      <c r="B942" s="30"/>
      <c r="C942" s="30"/>
      <c r="D942" s="31"/>
      <c r="E942" s="32" t="str">
        <f aca="false">IF(B942="","",IFERROR(INDEX(Kategorien!$B$5:$B$37,MATCH(B942,Kategorien!$A$5:$A$37,0)),"unbekannte Kategorie"))</f>
        <v/>
      </c>
    </row>
    <row r="943" customFormat="false" ht="15" hidden="false" customHeight="false" outlineLevel="0" collapsed="false">
      <c r="A943" s="29"/>
      <c r="B943" s="30"/>
      <c r="C943" s="30"/>
      <c r="D943" s="31"/>
      <c r="E943" s="32" t="str">
        <f aca="false">IF(B943="","",IFERROR(INDEX(Kategorien!$B$5:$B$37,MATCH(B943,Kategorien!$A$5:$A$37,0)),"unbekannte Kategorie"))</f>
        <v/>
      </c>
    </row>
    <row r="944" customFormat="false" ht="15" hidden="false" customHeight="false" outlineLevel="0" collapsed="false">
      <c r="A944" s="29"/>
      <c r="B944" s="30"/>
      <c r="C944" s="30"/>
      <c r="D944" s="31"/>
      <c r="E944" s="32" t="str">
        <f aca="false">IF(B944="","",IFERROR(INDEX(Kategorien!$B$5:$B$37,MATCH(B944,Kategorien!$A$5:$A$37,0)),"unbekannte Kategorie"))</f>
        <v/>
      </c>
    </row>
    <row r="945" customFormat="false" ht="15" hidden="false" customHeight="false" outlineLevel="0" collapsed="false">
      <c r="A945" s="29"/>
      <c r="B945" s="30"/>
      <c r="C945" s="30"/>
      <c r="D945" s="31"/>
      <c r="E945" s="32" t="str">
        <f aca="false">IF(B945="","",IFERROR(INDEX(Kategorien!$B$5:$B$37,MATCH(B945,Kategorien!$A$5:$A$37,0)),"unbekannte Kategorie"))</f>
        <v/>
      </c>
    </row>
    <row r="946" customFormat="false" ht="15" hidden="false" customHeight="false" outlineLevel="0" collapsed="false">
      <c r="A946" s="29"/>
      <c r="B946" s="30"/>
      <c r="C946" s="30"/>
      <c r="D946" s="31"/>
      <c r="E946" s="32" t="str">
        <f aca="false">IF(B946="","",IFERROR(INDEX(Kategorien!$B$5:$B$37,MATCH(B946,Kategorien!$A$5:$A$37,0)),"unbekannte Kategorie"))</f>
        <v/>
      </c>
    </row>
    <row r="947" customFormat="false" ht="15" hidden="false" customHeight="false" outlineLevel="0" collapsed="false">
      <c r="A947" s="29"/>
      <c r="B947" s="30"/>
      <c r="C947" s="30"/>
      <c r="D947" s="31"/>
      <c r="E947" s="32" t="str">
        <f aca="false">IF(B947="","",IFERROR(INDEX(Kategorien!$B$5:$B$37,MATCH(B947,Kategorien!$A$5:$A$37,0)),"unbekannte Kategorie"))</f>
        <v/>
      </c>
    </row>
    <row r="948" customFormat="false" ht="15" hidden="false" customHeight="false" outlineLevel="0" collapsed="false">
      <c r="A948" s="29"/>
      <c r="B948" s="30"/>
      <c r="C948" s="30"/>
      <c r="D948" s="31"/>
      <c r="E948" s="32" t="str">
        <f aca="false">IF(B948="","",IFERROR(INDEX(Kategorien!$B$5:$B$37,MATCH(B948,Kategorien!$A$5:$A$37,0)),"unbekannte Kategorie"))</f>
        <v/>
      </c>
    </row>
    <row r="949" customFormat="false" ht="15" hidden="false" customHeight="false" outlineLevel="0" collapsed="false">
      <c r="A949" s="29"/>
      <c r="B949" s="30"/>
      <c r="C949" s="30"/>
      <c r="D949" s="31"/>
      <c r="E949" s="32" t="str">
        <f aca="false">IF(B949="","",IFERROR(INDEX(Kategorien!$B$5:$B$37,MATCH(B949,Kategorien!$A$5:$A$37,0)),"unbekannte Kategorie"))</f>
        <v/>
      </c>
    </row>
    <row r="950" customFormat="false" ht="15" hidden="false" customHeight="false" outlineLevel="0" collapsed="false">
      <c r="A950" s="29"/>
      <c r="B950" s="30"/>
      <c r="C950" s="30"/>
      <c r="D950" s="31"/>
      <c r="E950" s="32" t="str">
        <f aca="false">IF(B950="","",IFERROR(INDEX(Kategorien!$B$5:$B$37,MATCH(B950,Kategorien!$A$5:$A$37,0)),"unbekannte Kategorie"))</f>
        <v/>
      </c>
    </row>
    <row r="951" customFormat="false" ht="15" hidden="false" customHeight="false" outlineLevel="0" collapsed="false">
      <c r="A951" s="29"/>
      <c r="B951" s="30"/>
      <c r="C951" s="30"/>
      <c r="D951" s="31"/>
      <c r="E951" s="32" t="str">
        <f aca="false">IF(B951="","",IFERROR(INDEX(Kategorien!$B$5:$B$37,MATCH(B951,Kategorien!$A$5:$A$37,0)),"unbekannte Kategorie"))</f>
        <v/>
      </c>
    </row>
    <row r="952" customFormat="false" ht="15" hidden="false" customHeight="false" outlineLevel="0" collapsed="false">
      <c r="A952" s="29"/>
      <c r="B952" s="30"/>
      <c r="C952" s="30"/>
      <c r="D952" s="31"/>
      <c r="E952" s="32" t="str">
        <f aca="false">IF(B952="","",IFERROR(INDEX(Kategorien!$B$5:$B$37,MATCH(B952,Kategorien!$A$5:$A$37,0)),"unbekannte Kategorie"))</f>
        <v/>
      </c>
    </row>
    <row r="953" customFormat="false" ht="15" hidden="false" customHeight="false" outlineLevel="0" collapsed="false">
      <c r="A953" s="29"/>
      <c r="B953" s="30"/>
      <c r="C953" s="30"/>
      <c r="D953" s="31"/>
      <c r="E953" s="32" t="str">
        <f aca="false">IF(B953="","",IFERROR(INDEX(Kategorien!$B$5:$B$37,MATCH(B953,Kategorien!$A$5:$A$37,0)),"unbekannte Kategorie"))</f>
        <v/>
      </c>
    </row>
    <row r="954" customFormat="false" ht="15" hidden="false" customHeight="false" outlineLevel="0" collapsed="false">
      <c r="A954" s="29"/>
      <c r="B954" s="30"/>
      <c r="C954" s="30"/>
      <c r="D954" s="31"/>
      <c r="E954" s="32" t="str">
        <f aca="false">IF(B954="","",IFERROR(INDEX(Kategorien!$B$5:$B$37,MATCH(B954,Kategorien!$A$5:$A$37,0)),"unbekannte Kategorie"))</f>
        <v/>
      </c>
    </row>
    <row r="955" customFormat="false" ht="15" hidden="false" customHeight="false" outlineLevel="0" collapsed="false">
      <c r="A955" s="29"/>
      <c r="B955" s="30"/>
      <c r="C955" s="30"/>
      <c r="D955" s="31"/>
      <c r="E955" s="32" t="str">
        <f aca="false">IF(B955="","",IFERROR(INDEX(Kategorien!$B$5:$B$37,MATCH(B955,Kategorien!$A$5:$A$37,0)),"unbekannte Kategorie"))</f>
        <v/>
      </c>
    </row>
    <row r="956" customFormat="false" ht="15" hidden="false" customHeight="false" outlineLevel="0" collapsed="false">
      <c r="A956" s="29"/>
      <c r="B956" s="30"/>
      <c r="C956" s="30"/>
      <c r="D956" s="31"/>
      <c r="E956" s="32" t="str">
        <f aca="false">IF(B956="","",IFERROR(INDEX(Kategorien!$B$5:$B$37,MATCH(B956,Kategorien!$A$5:$A$37,0)),"unbekannte Kategorie"))</f>
        <v/>
      </c>
    </row>
    <row r="957" customFormat="false" ht="15" hidden="false" customHeight="false" outlineLevel="0" collapsed="false">
      <c r="A957" s="29"/>
      <c r="B957" s="30"/>
      <c r="C957" s="30"/>
      <c r="D957" s="31"/>
      <c r="E957" s="32" t="str">
        <f aca="false">IF(B957="","",IFERROR(INDEX(Kategorien!$B$5:$B$37,MATCH(B957,Kategorien!$A$5:$A$37,0)),"unbekannte Kategorie"))</f>
        <v/>
      </c>
    </row>
    <row r="958" customFormat="false" ht="15" hidden="false" customHeight="false" outlineLevel="0" collapsed="false">
      <c r="A958" s="29"/>
      <c r="B958" s="30"/>
      <c r="C958" s="30"/>
      <c r="D958" s="31"/>
      <c r="E958" s="32" t="str">
        <f aca="false">IF(B958="","",IFERROR(INDEX(Kategorien!$B$5:$B$37,MATCH(B958,Kategorien!$A$5:$A$37,0)),"unbekannte Kategorie"))</f>
        <v/>
      </c>
    </row>
    <row r="959" customFormat="false" ht="15" hidden="false" customHeight="false" outlineLevel="0" collapsed="false">
      <c r="A959" s="29"/>
      <c r="B959" s="30"/>
      <c r="C959" s="30"/>
      <c r="D959" s="31"/>
      <c r="E959" s="32" t="str">
        <f aca="false">IF(B959="","",IFERROR(INDEX(Kategorien!$B$5:$B$37,MATCH(B959,Kategorien!$A$5:$A$37,0)),"unbekannte Kategorie"))</f>
        <v/>
      </c>
    </row>
    <row r="960" customFormat="false" ht="15" hidden="false" customHeight="false" outlineLevel="0" collapsed="false">
      <c r="A960" s="29"/>
      <c r="B960" s="30"/>
      <c r="C960" s="30"/>
      <c r="D960" s="31"/>
      <c r="E960" s="32" t="str">
        <f aca="false">IF(B960="","",IFERROR(INDEX(Kategorien!$B$5:$B$37,MATCH(B960,Kategorien!$A$5:$A$37,0)),"unbekannte Kategorie"))</f>
        <v/>
      </c>
    </row>
    <row r="961" customFormat="false" ht="15" hidden="false" customHeight="false" outlineLevel="0" collapsed="false">
      <c r="A961" s="29"/>
      <c r="B961" s="30"/>
      <c r="C961" s="30"/>
      <c r="D961" s="31"/>
      <c r="E961" s="32" t="str">
        <f aca="false">IF(B961="","",IFERROR(INDEX(Kategorien!$B$5:$B$37,MATCH(B961,Kategorien!$A$5:$A$37,0)),"unbekannte Kategorie"))</f>
        <v/>
      </c>
    </row>
    <row r="962" customFormat="false" ht="15" hidden="false" customHeight="false" outlineLevel="0" collapsed="false">
      <c r="A962" s="29"/>
      <c r="B962" s="30"/>
      <c r="C962" s="30"/>
      <c r="D962" s="31"/>
      <c r="E962" s="32" t="str">
        <f aca="false">IF(B962="","",IFERROR(INDEX(Kategorien!$B$5:$B$37,MATCH(B962,Kategorien!$A$5:$A$37,0)),"unbekannte Kategorie"))</f>
        <v/>
      </c>
    </row>
    <row r="963" customFormat="false" ht="15" hidden="false" customHeight="false" outlineLevel="0" collapsed="false">
      <c r="A963" s="29"/>
      <c r="B963" s="30"/>
      <c r="C963" s="30"/>
      <c r="D963" s="31"/>
      <c r="E963" s="32" t="str">
        <f aca="false">IF(B963="","",IFERROR(INDEX(Kategorien!$B$5:$B$37,MATCH(B963,Kategorien!$A$5:$A$37,0)),"unbekannte Kategorie"))</f>
        <v/>
      </c>
    </row>
    <row r="964" customFormat="false" ht="15" hidden="false" customHeight="false" outlineLevel="0" collapsed="false">
      <c r="A964" s="29"/>
      <c r="B964" s="30"/>
      <c r="C964" s="30"/>
      <c r="D964" s="31"/>
      <c r="E964" s="32" t="str">
        <f aca="false">IF(B964="","",IFERROR(INDEX(Kategorien!$B$5:$B$37,MATCH(B964,Kategorien!$A$5:$A$37,0)),"unbekannte Kategorie"))</f>
        <v/>
      </c>
    </row>
    <row r="965" customFormat="false" ht="15" hidden="false" customHeight="false" outlineLevel="0" collapsed="false">
      <c r="A965" s="29"/>
      <c r="B965" s="30"/>
      <c r="C965" s="30"/>
      <c r="D965" s="31"/>
      <c r="E965" s="32" t="str">
        <f aca="false">IF(B965="","",IFERROR(INDEX(Kategorien!$B$5:$B$37,MATCH(B965,Kategorien!$A$5:$A$37,0)),"unbekannte Kategorie"))</f>
        <v/>
      </c>
    </row>
    <row r="966" customFormat="false" ht="15" hidden="false" customHeight="false" outlineLevel="0" collapsed="false">
      <c r="A966" s="29"/>
      <c r="B966" s="30"/>
      <c r="C966" s="30"/>
      <c r="D966" s="31"/>
      <c r="E966" s="32" t="str">
        <f aca="false">IF(B966="","",IFERROR(INDEX(Kategorien!$B$5:$B$37,MATCH(B966,Kategorien!$A$5:$A$37,0)),"unbekannte Kategorie"))</f>
        <v/>
      </c>
    </row>
    <row r="967" customFormat="false" ht="15" hidden="false" customHeight="false" outlineLevel="0" collapsed="false">
      <c r="A967" s="29"/>
      <c r="B967" s="30"/>
      <c r="C967" s="30"/>
      <c r="D967" s="31"/>
      <c r="E967" s="32" t="str">
        <f aca="false">IF(B967="","",IFERROR(INDEX(Kategorien!$B$5:$B$37,MATCH(B967,Kategorien!$A$5:$A$37,0)),"unbekannte Kategorie"))</f>
        <v/>
      </c>
    </row>
    <row r="968" customFormat="false" ht="15" hidden="false" customHeight="false" outlineLevel="0" collapsed="false">
      <c r="A968" s="29"/>
      <c r="B968" s="30"/>
      <c r="C968" s="30"/>
      <c r="D968" s="31"/>
      <c r="E968" s="32" t="str">
        <f aca="false">IF(B968="","",IFERROR(INDEX(Kategorien!$B$5:$B$37,MATCH(B968,Kategorien!$A$5:$A$37,0)),"unbekannte Kategorie"))</f>
        <v/>
      </c>
    </row>
    <row r="969" customFormat="false" ht="15" hidden="false" customHeight="false" outlineLevel="0" collapsed="false">
      <c r="A969" s="29"/>
      <c r="B969" s="30"/>
      <c r="C969" s="30"/>
      <c r="D969" s="31"/>
      <c r="E969" s="32" t="str">
        <f aca="false">IF(B969="","",IFERROR(INDEX(Kategorien!$B$5:$B$37,MATCH(B969,Kategorien!$A$5:$A$37,0)),"unbekannte Kategorie"))</f>
        <v/>
      </c>
    </row>
    <row r="970" customFormat="false" ht="15" hidden="false" customHeight="false" outlineLevel="0" collapsed="false">
      <c r="A970" s="29"/>
      <c r="B970" s="30"/>
      <c r="C970" s="30"/>
      <c r="D970" s="31"/>
      <c r="E970" s="32" t="str">
        <f aca="false">IF(B970="","",IFERROR(INDEX(Kategorien!$B$5:$B$37,MATCH(B970,Kategorien!$A$5:$A$37,0)),"unbekannte Kategorie"))</f>
        <v/>
      </c>
    </row>
    <row r="971" customFormat="false" ht="15" hidden="false" customHeight="false" outlineLevel="0" collapsed="false">
      <c r="A971" s="29"/>
      <c r="B971" s="30"/>
      <c r="C971" s="30"/>
      <c r="D971" s="31"/>
      <c r="E971" s="32" t="str">
        <f aca="false">IF(B971="","",IFERROR(INDEX(Kategorien!$B$5:$B$37,MATCH(B971,Kategorien!$A$5:$A$37,0)),"unbekannte Kategorie"))</f>
        <v/>
      </c>
    </row>
    <row r="972" customFormat="false" ht="15" hidden="false" customHeight="false" outlineLevel="0" collapsed="false">
      <c r="A972" s="29"/>
      <c r="B972" s="30"/>
      <c r="C972" s="30"/>
      <c r="D972" s="31"/>
      <c r="E972" s="32" t="str">
        <f aca="false">IF(B972="","",IFERROR(INDEX(Kategorien!$B$5:$B$37,MATCH(B972,Kategorien!$A$5:$A$37,0)),"unbekannte Kategorie"))</f>
        <v/>
      </c>
    </row>
    <row r="973" customFormat="false" ht="15" hidden="false" customHeight="false" outlineLevel="0" collapsed="false">
      <c r="A973" s="29"/>
      <c r="B973" s="30"/>
      <c r="C973" s="30"/>
      <c r="D973" s="31"/>
      <c r="E973" s="32" t="str">
        <f aca="false">IF(B973="","",IFERROR(INDEX(Kategorien!$B$5:$B$37,MATCH(B973,Kategorien!$A$5:$A$37,0)),"unbekannte Kategorie"))</f>
        <v/>
      </c>
    </row>
    <row r="974" customFormat="false" ht="15" hidden="false" customHeight="false" outlineLevel="0" collapsed="false">
      <c r="A974" s="29"/>
      <c r="B974" s="30"/>
      <c r="C974" s="30"/>
      <c r="D974" s="31"/>
      <c r="E974" s="32" t="str">
        <f aca="false">IF(B974="","",IFERROR(INDEX(Kategorien!$B$5:$B$37,MATCH(B974,Kategorien!$A$5:$A$37,0)),"unbekannte Kategorie"))</f>
        <v/>
      </c>
    </row>
    <row r="975" customFormat="false" ht="15" hidden="false" customHeight="false" outlineLevel="0" collapsed="false">
      <c r="A975" s="29"/>
      <c r="B975" s="30"/>
      <c r="C975" s="30"/>
      <c r="D975" s="31"/>
      <c r="E975" s="32" t="str">
        <f aca="false">IF(B975="","",IFERROR(INDEX(Kategorien!$B$5:$B$37,MATCH(B975,Kategorien!$A$5:$A$37,0)),"unbekannte Kategorie"))</f>
        <v/>
      </c>
    </row>
    <row r="976" customFormat="false" ht="15" hidden="false" customHeight="false" outlineLevel="0" collapsed="false">
      <c r="A976" s="29"/>
      <c r="B976" s="30"/>
      <c r="C976" s="30"/>
      <c r="D976" s="31"/>
      <c r="E976" s="32" t="str">
        <f aca="false">IF(B976="","",IFERROR(INDEX(Kategorien!$B$5:$B$37,MATCH(B976,Kategorien!$A$5:$A$37,0)),"unbekannte Kategorie"))</f>
        <v/>
      </c>
    </row>
    <row r="977" customFormat="false" ht="15" hidden="false" customHeight="false" outlineLevel="0" collapsed="false">
      <c r="A977" s="29"/>
      <c r="B977" s="30"/>
      <c r="C977" s="30"/>
      <c r="D977" s="31"/>
      <c r="E977" s="32" t="str">
        <f aca="false">IF(B977="","",IFERROR(INDEX(Kategorien!$B$5:$B$37,MATCH(B977,Kategorien!$A$5:$A$37,0)),"unbekannte Kategorie"))</f>
        <v/>
      </c>
    </row>
    <row r="978" customFormat="false" ht="15" hidden="false" customHeight="false" outlineLevel="0" collapsed="false">
      <c r="A978" s="29"/>
      <c r="B978" s="30"/>
      <c r="C978" s="30"/>
      <c r="D978" s="31"/>
      <c r="E978" s="32" t="str">
        <f aca="false">IF(B978="","",IFERROR(INDEX(Kategorien!$B$5:$B$37,MATCH(B978,Kategorien!$A$5:$A$37,0)),"unbekannte Kategorie"))</f>
        <v/>
      </c>
    </row>
    <row r="979" customFormat="false" ht="15" hidden="false" customHeight="false" outlineLevel="0" collapsed="false">
      <c r="A979" s="29"/>
      <c r="B979" s="30"/>
      <c r="C979" s="30"/>
      <c r="D979" s="31"/>
      <c r="E979" s="32" t="str">
        <f aca="false">IF(B979="","",IFERROR(INDEX(Kategorien!$B$5:$B$37,MATCH(B979,Kategorien!$A$5:$A$37,0)),"unbekannte Kategorie"))</f>
        <v/>
      </c>
    </row>
    <row r="980" customFormat="false" ht="15" hidden="false" customHeight="false" outlineLevel="0" collapsed="false">
      <c r="A980" s="29"/>
      <c r="B980" s="30"/>
      <c r="C980" s="30"/>
      <c r="D980" s="31"/>
      <c r="E980" s="32" t="str">
        <f aca="false">IF(B980="","",IFERROR(INDEX(Kategorien!$B$5:$B$37,MATCH(B980,Kategorien!$A$5:$A$37,0)),"unbekannte Kategorie"))</f>
        <v/>
      </c>
    </row>
    <row r="981" customFormat="false" ht="15" hidden="false" customHeight="false" outlineLevel="0" collapsed="false">
      <c r="A981" s="29"/>
      <c r="B981" s="30"/>
      <c r="C981" s="30"/>
      <c r="D981" s="31"/>
      <c r="E981" s="32" t="str">
        <f aca="false">IF(B981="","",IFERROR(INDEX(Kategorien!$B$5:$B$37,MATCH(B981,Kategorien!$A$5:$A$37,0)),"unbekannte Kategorie"))</f>
        <v/>
      </c>
    </row>
    <row r="982" customFormat="false" ht="15" hidden="false" customHeight="false" outlineLevel="0" collapsed="false">
      <c r="A982" s="29"/>
      <c r="B982" s="30"/>
      <c r="C982" s="30"/>
      <c r="D982" s="31"/>
      <c r="E982" s="32" t="str">
        <f aca="false">IF(B982="","",IFERROR(INDEX(Kategorien!$B$5:$B$37,MATCH(B982,Kategorien!$A$5:$A$37,0)),"unbekannte Kategorie"))</f>
        <v/>
      </c>
    </row>
    <row r="983" customFormat="false" ht="15" hidden="false" customHeight="false" outlineLevel="0" collapsed="false">
      <c r="A983" s="29"/>
      <c r="B983" s="30"/>
      <c r="C983" s="30"/>
      <c r="D983" s="31"/>
      <c r="E983" s="32" t="str">
        <f aca="false">IF(B983="","",IFERROR(INDEX(Kategorien!$B$5:$B$37,MATCH(B983,Kategorien!$A$5:$A$37,0)),"unbekannte Kategorie"))</f>
        <v/>
      </c>
    </row>
    <row r="984" customFormat="false" ht="15" hidden="false" customHeight="false" outlineLevel="0" collapsed="false">
      <c r="A984" s="29"/>
      <c r="B984" s="30"/>
      <c r="C984" s="30"/>
      <c r="D984" s="31"/>
      <c r="E984" s="32" t="str">
        <f aca="false">IF(B984="","",IFERROR(INDEX(Kategorien!$B$5:$B$37,MATCH(B984,Kategorien!$A$5:$A$37,0)),"unbekannte Kategorie"))</f>
        <v/>
      </c>
    </row>
    <row r="985" customFormat="false" ht="15" hidden="false" customHeight="false" outlineLevel="0" collapsed="false">
      <c r="A985" s="29"/>
      <c r="B985" s="30"/>
      <c r="C985" s="30"/>
      <c r="D985" s="31"/>
      <c r="E985" s="32" t="str">
        <f aca="false">IF(B985="","",IFERROR(INDEX(Kategorien!$B$5:$B$37,MATCH(B985,Kategorien!$A$5:$A$37,0)),"unbekannte Kategorie"))</f>
        <v/>
      </c>
    </row>
    <row r="986" customFormat="false" ht="15" hidden="false" customHeight="false" outlineLevel="0" collapsed="false">
      <c r="A986" s="29"/>
      <c r="B986" s="30"/>
      <c r="C986" s="30"/>
      <c r="D986" s="31"/>
      <c r="E986" s="32" t="str">
        <f aca="false">IF(B986="","",IFERROR(INDEX(Kategorien!$B$5:$B$37,MATCH(B986,Kategorien!$A$5:$A$37,0)),"unbekannte Kategorie"))</f>
        <v/>
      </c>
    </row>
    <row r="987" customFormat="false" ht="15" hidden="false" customHeight="false" outlineLevel="0" collapsed="false">
      <c r="A987" s="29"/>
      <c r="B987" s="30"/>
      <c r="C987" s="30"/>
      <c r="D987" s="31"/>
      <c r="E987" s="32" t="str">
        <f aca="false">IF(B987="","",IFERROR(INDEX(Kategorien!$B$5:$B$37,MATCH(B987,Kategorien!$A$5:$A$37,0)),"unbekannte Kategorie"))</f>
        <v/>
      </c>
    </row>
    <row r="988" customFormat="false" ht="15" hidden="false" customHeight="false" outlineLevel="0" collapsed="false">
      <c r="A988" s="29"/>
      <c r="B988" s="30"/>
      <c r="C988" s="30"/>
      <c r="D988" s="31"/>
      <c r="E988" s="32" t="str">
        <f aca="false">IF(B988="","",IFERROR(INDEX(Kategorien!$B$5:$B$37,MATCH(B988,Kategorien!$A$5:$A$37,0)),"unbekannte Kategorie"))</f>
        <v/>
      </c>
    </row>
    <row r="989" customFormat="false" ht="15" hidden="false" customHeight="false" outlineLevel="0" collapsed="false">
      <c r="A989" s="29"/>
      <c r="B989" s="30"/>
      <c r="C989" s="30"/>
      <c r="D989" s="31"/>
      <c r="E989" s="32" t="str">
        <f aca="false">IF(B989="","",IFERROR(INDEX(Kategorien!$B$5:$B$37,MATCH(B989,Kategorien!$A$5:$A$37,0)),"unbekannte Kategorie"))</f>
        <v/>
      </c>
    </row>
    <row r="990" customFormat="false" ht="15" hidden="false" customHeight="false" outlineLevel="0" collapsed="false">
      <c r="A990" s="29"/>
      <c r="B990" s="30"/>
      <c r="C990" s="30"/>
      <c r="D990" s="31"/>
      <c r="E990" s="32" t="str">
        <f aca="false">IF(B990="","",IFERROR(INDEX(Kategorien!$B$5:$B$37,MATCH(B990,Kategorien!$A$5:$A$37,0)),"unbekannte Kategorie"))</f>
        <v/>
      </c>
    </row>
    <row r="991" customFormat="false" ht="15" hidden="false" customHeight="false" outlineLevel="0" collapsed="false">
      <c r="A991" s="29"/>
      <c r="B991" s="30"/>
      <c r="C991" s="30"/>
      <c r="D991" s="31"/>
      <c r="E991" s="32" t="str">
        <f aca="false">IF(B991="","",IFERROR(INDEX(Kategorien!$B$5:$B$37,MATCH(B991,Kategorien!$A$5:$A$37,0)),"unbekannte Kategorie"))</f>
        <v/>
      </c>
    </row>
    <row r="992" customFormat="false" ht="15" hidden="false" customHeight="false" outlineLevel="0" collapsed="false">
      <c r="A992" s="29"/>
      <c r="B992" s="30"/>
      <c r="C992" s="30"/>
      <c r="D992" s="31"/>
      <c r="E992" s="32" t="str">
        <f aca="false">IF(B992="","",IFERROR(INDEX(Kategorien!$B$5:$B$37,MATCH(B992,Kategorien!$A$5:$A$37,0)),"unbekannte Kategorie"))</f>
        <v/>
      </c>
    </row>
    <row r="993" customFormat="false" ht="15" hidden="false" customHeight="false" outlineLevel="0" collapsed="false">
      <c r="A993" s="29"/>
      <c r="B993" s="30"/>
      <c r="C993" s="30"/>
      <c r="D993" s="31"/>
      <c r="E993" s="32" t="str">
        <f aca="false">IF(B993="","",IFERROR(INDEX(Kategorien!$B$5:$B$37,MATCH(B993,Kategorien!$A$5:$A$37,0)),"unbekannte Kategorie"))</f>
        <v/>
      </c>
    </row>
    <row r="994" customFormat="false" ht="15" hidden="false" customHeight="false" outlineLevel="0" collapsed="false">
      <c r="A994" s="29"/>
      <c r="B994" s="30"/>
      <c r="C994" s="30"/>
      <c r="D994" s="31"/>
      <c r="E994" s="32" t="str">
        <f aca="false">IF(B994="","",IFERROR(INDEX(Kategorien!$B$5:$B$37,MATCH(B994,Kategorien!$A$5:$A$37,0)),"unbekannte Kategorie"))</f>
        <v/>
      </c>
    </row>
    <row r="995" customFormat="false" ht="15" hidden="false" customHeight="false" outlineLevel="0" collapsed="false">
      <c r="A995" s="29"/>
      <c r="B995" s="30"/>
      <c r="C995" s="30"/>
      <c r="D995" s="31"/>
      <c r="E995" s="32" t="str">
        <f aca="false">IF(B995="","",IFERROR(INDEX(Kategorien!$B$5:$B$37,MATCH(B995,Kategorien!$A$5:$A$37,0)),"unbekannte Kategorie"))</f>
        <v/>
      </c>
    </row>
    <row r="996" customFormat="false" ht="15" hidden="false" customHeight="false" outlineLevel="0" collapsed="false">
      <c r="A996" s="29"/>
      <c r="B996" s="30"/>
      <c r="C996" s="30"/>
      <c r="D996" s="31"/>
      <c r="E996" s="32" t="str">
        <f aca="false">IF(B996="","",IFERROR(INDEX(Kategorien!$B$5:$B$37,MATCH(B996,Kategorien!$A$5:$A$37,0)),"unbekannte Kategorie"))</f>
        <v/>
      </c>
    </row>
    <row r="997" customFormat="false" ht="15" hidden="false" customHeight="false" outlineLevel="0" collapsed="false">
      <c r="A997" s="29"/>
      <c r="B997" s="30"/>
      <c r="C997" s="30"/>
      <c r="D997" s="31"/>
      <c r="E997" s="32" t="str">
        <f aca="false">IF(B997="","",IFERROR(INDEX(Kategorien!$B$5:$B$37,MATCH(B997,Kategorien!$A$5:$A$37,0)),"unbekannte Kategorie"))</f>
        <v/>
      </c>
    </row>
    <row r="998" customFormat="false" ht="15" hidden="false" customHeight="false" outlineLevel="0" collapsed="false">
      <c r="A998" s="29"/>
      <c r="B998" s="30"/>
      <c r="C998" s="30"/>
      <c r="D998" s="31"/>
      <c r="E998" s="32" t="str">
        <f aca="false">IF(B998="","",IFERROR(INDEX(Kategorien!$B$5:$B$37,MATCH(B998,Kategorien!$A$5:$A$37,0)),"unbekannte Kategorie"))</f>
        <v/>
      </c>
    </row>
    <row r="999" customFormat="false" ht="15" hidden="false" customHeight="false" outlineLevel="0" collapsed="false">
      <c r="A999" s="29"/>
      <c r="B999" s="30"/>
      <c r="C999" s="30"/>
      <c r="D999" s="31"/>
      <c r="E999" s="32" t="str">
        <f aca="false">IF(B999="","",IFERROR(INDEX(Kategorien!$B$5:$B$37,MATCH(B999,Kategorien!$A$5:$A$37,0)),"unbekannte Kategorie"))</f>
        <v/>
      </c>
    </row>
    <row r="1000" customFormat="false" ht="15" hidden="false" customHeight="false" outlineLevel="0" collapsed="false">
      <c r="A1000" s="29"/>
      <c r="B1000" s="30"/>
      <c r="C1000" s="30"/>
      <c r="D1000" s="31"/>
      <c r="E1000" s="32" t="str">
        <f aca="false">IF(B1000="","",IFERROR(INDEX(Kategorien!$B$5:$B$37,MATCH(B1000,Kategorien!$A$5:$A$37,0)),"unbekannte Kategorie"))</f>
        <v/>
      </c>
    </row>
    <row r="1001" customFormat="false" ht="15" hidden="false" customHeight="false" outlineLevel="0" collapsed="false">
      <c r="A1001" s="29"/>
      <c r="B1001" s="30"/>
      <c r="C1001" s="30"/>
      <c r="D1001" s="31"/>
      <c r="E1001" s="32" t="str">
        <f aca="false">IF(B1001="","",IFERROR(INDEX(Kategorien!$B$5:$B$37,MATCH(B1001,Kategorien!$A$5:$A$37,0)),"unbekannte Kategorie"))</f>
        <v/>
      </c>
    </row>
    <row r="1002" customFormat="false" ht="15" hidden="false" customHeight="false" outlineLevel="0" collapsed="false">
      <c r="A1002" s="29"/>
      <c r="B1002" s="30"/>
      <c r="C1002" s="30"/>
      <c r="D1002" s="31"/>
      <c r="E1002" s="32" t="str">
        <f aca="false">IF(B1002="","",IFERROR(INDEX(Kategorien!$B$5:$B$37,MATCH(B1002,Kategorien!$A$5:$A$37,0)),"unbekannte Kategorie"))</f>
        <v/>
      </c>
    </row>
    <row r="1003" customFormat="false" ht="15" hidden="false" customHeight="false" outlineLevel="0" collapsed="false">
      <c r="A1003" s="29"/>
      <c r="B1003" s="30"/>
      <c r="C1003" s="30"/>
      <c r="D1003" s="31"/>
      <c r="E1003" s="32" t="str">
        <f aca="false">IF(B1003="","",IFERROR(INDEX(Kategorien!$B$5:$B$37,MATCH(B1003,Kategorien!$A$5:$A$37,0)),"unbekannte Kategorie"))</f>
        <v/>
      </c>
    </row>
    <row r="1004" customFormat="false" ht="15" hidden="false" customHeight="false" outlineLevel="0" collapsed="false">
      <c r="A1004" s="29"/>
      <c r="B1004" s="30"/>
      <c r="C1004" s="30"/>
      <c r="D1004" s="31"/>
      <c r="E1004" s="32" t="str">
        <f aca="false">IF(B1004="","",IFERROR(INDEX(Kategorien!$B$5:$B$37,MATCH(B1004,Kategorien!$A$5:$A$37,0)),"unbekannte Kategorie"))</f>
        <v/>
      </c>
    </row>
  </sheetData>
  <autoFilter ref="A4:E1004"/>
  <conditionalFormatting sqref="E5:E1004">
    <cfRule type="expression" priority="2" aboveAverage="0" equalAverage="0" bottom="0" percent="0" rank="0" text="" dxfId="8">
      <formula>E5="Einnahme"</formula>
    </cfRule>
    <cfRule type="expression" priority="3" aboveAverage="0" equalAverage="0" bottom="0" percent="0" rank="0" text="" dxfId="0">
      <formula>E5="Ausgabe"</formula>
    </cfRule>
    <cfRule type="expression" priority="4" aboveAverage="0" equalAverage="0" bottom="0" percent="0" rank="0" text="" dxfId="9">
      <formula>E5="unbekannte Kategorie"</formula>
    </cfRule>
  </conditionalFormatting>
  <dataValidations count="3">
    <dataValidation allowBlank="true" error="Bitte eine Kategorie aus der Liste wählen (Tab „Kategorien“)." errorStyle="warning" errorTitle="Unbekannte Kategorie" operator="between" showDropDown="false" showErrorMessage="true" showInputMessage="false" sqref="B5:B1004" type="list">
      <formula1>Kategorien!$A$5:$A$37</formula1>
      <formula2>0</formula2>
    </dataValidation>
    <dataValidation allowBlank="true" error="Beträge immer positiv eingeben – die Kategorie entscheidet, ob Einnahme oder Ausgabe." errorStyle="stop" errorTitle="Betrag positiv eingeben" operator="greaterThanOrEqual" showDropDown="false" showErrorMessage="true" showInputMessage="false" sqref="D5:D1004" type="decimal">
      <formula1>0</formula1>
      <formula2>0</formula2>
    </dataValidation>
    <dataValidation allowBlank="true" error="Das Datum liegt nicht im eingestellten Jahr (Tab „Start“) und wird nicht mitgezählt." errorStyle="warning" errorTitle="Anderes Jahr?" operator="between" showDropDown="false" showErrorMessage="true" showInputMessage="false" sqref="A5:A1004" type="date">
      <formula1>DATE(Start!$C$6,1,1)</formula1>
      <formula2>DATE(Start!$C$6,12,31)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B9B5"/>
    <pageSetUpPr fitToPage="tru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4"/>
    <col collapsed="false" customWidth="true" hidden="false" outlineLevel="0" max="5" min="5" style="0" width="60"/>
  </cols>
  <sheetData>
    <row r="1" customFormat="false" ht="30" hidden="false" customHeight="true" outlineLevel="0" collapsed="false">
      <c r="A1" s="28" t="s">
        <v>68</v>
      </c>
      <c r="B1" s="1"/>
      <c r="C1" s="1"/>
      <c r="D1" s="1"/>
      <c r="E1" s="1"/>
    </row>
    <row r="2" customFormat="false" ht="15" hidden="false" customHeight="false" outlineLevel="0" collapsed="false">
      <c r="A2" s="16" t="s">
        <v>69</v>
      </c>
      <c r="B2" s="1"/>
      <c r="C2" s="1"/>
      <c r="D2" s="1"/>
      <c r="E2" s="1"/>
    </row>
    <row r="3" customFormat="false" ht="15" hidden="false" customHeight="false" outlineLevel="0" collapsed="false">
      <c r="A3" s="1"/>
      <c r="B3" s="1"/>
      <c r="C3" s="1"/>
      <c r="D3" s="1"/>
      <c r="E3" s="1"/>
    </row>
    <row r="4" customFormat="false" ht="30" hidden="false" customHeight="true" outlineLevel="0" collapsed="false">
      <c r="A4" s="25" t="s">
        <v>57</v>
      </c>
      <c r="B4" s="25" t="s">
        <v>70</v>
      </c>
      <c r="C4" s="25" t="s">
        <v>71</v>
      </c>
      <c r="D4" s="1"/>
      <c r="E4" s="33" t="s">
        <v>72</v>
      </c>
    </row>
    <row r="5" customFormat="false" ht="15" hidden="false" customHeight="false" outlineLevel="0" collapsed="false">
      <c r="A5" s="30" t="s">
        <v>66</v>
      </c>
      <c r="B5" s="34" t="s">
        <v>73</v>
      </c>
      <c r="C5" s="31"/>
      <c r="D5" s="1"/>
      <c r="E5" s="35" t="s">
        <v>74</v>
      </c>
    </row>
    <row r="6" customFormat="false" ht="15" hidden="false" customHeight="false" outlineLevel="0" collapsed="false">
      <c r="A6" s="30" t="s">
        <v>75</v>
      </c>
      <c r="B6" s="34" t="s">
        <v>73</v>
      </c>
      <c r="C6" s="31"/>
      <c r="D6" s="1"/>
      <c r="E6" s="35" t="s">
        <v>76</v>
      </c>
    </row>
    <row r="7" customFormat="false" ht="15" hidden="false" customHeight="false" outlineLevel="0" collapsed="false">
      <c r="A7" s="30" t="s">
        <v>77</v>
      </c>
      <c r="B7" s="34" t="s">
        <v>73</v>
      </c>
      <c r="C7" s="31"/>
      <c r="D7" s="1"/>
      <c r="E7" s="35" t="s">
        <v>78</v>
      </c>
    </row>
    <row r="8" customFormat="false" ht="15" hidden="false" customHeight="false" outlineLevel="0" collapsed="false">
      <c r="A8" s="30" t="s">
        <v>79</v>
      </c>
      <c r="B8" s="34" t="s">
        <v>73</v>
      </c>
      <c r="C8" s="31"/>
      <c r="D8" s="1"/>
      <c r="E8" s="35" t="s">
        <v>80</v>
      </c>
    </row>
    <row r="9" customFormat="false" ht="15" hidden="false" customHeight="false" outlineLevel="0" collapsed="false">
      <c r="A9" s="30"/>
      <c r="B9" s="34" t="s">
        <v>73</v>
      </c>
      <c r="C9" s="31"/>
      <c r="D9" s="1"/>
      <c r="E9" s="35" t="s">
        <v>81</v>
      </c>
    </row>
    <row r="10" customFormat="false" ht="15" hidden="false" customHeight="false" outlineLevel="0" collapsed="false">
      <c r="A10" s="30"/>
      <c r="B10" s="34" t="s">
        <v>73</v>
      </c>
      <c r="C10" s="31"/>
      <c r="D10" s="1"/>
      <c r="E10" s="1"/>
    </row>
    <row r="11" customFormat="false" ht="15" hidden="false" customHeight="false" outlineLevel="0" collapsed="false">
      <c r="A11" s="30"/>
      <c r="B11" s="34" t="s">
        <v>73</v>
      </c>
      <c r="C11" s="31"/>
      <c r="D11" s="1"/>
      <c r="E11" s="1"/>
    </row>
    <row r="12" customFormat="false" ht="15" hidden="false" customHeight="false" outlineLevel="0" collapsed="false">
      <c r="A12" s="30"/>
      <c r="B12" s="34" t="s">
        <v>73</v>
      </c>
      <c r="C12" s="31"/>
      <c r="D12" s="1"/>
      <c r="E12" s="1"/>
    </row>
    <row r="13" customFormat="false" ht="15" hidden="false" customHeight="false" outlineLevel="0" collapsed="false">
      <c r="A13" s="30" t="s">
        <v>82</v>
      </c>
      <c r="B13" s="36" t="s">
        <v>83</v>
      </c>
      <c r="C13" s="31"/>
      <c r="D13" s="1"/>
      <c r="E13" s="1"/>
    </row>
    <row r="14" customFormat="false" ht="15" hidden="false" customHeight="false" outlineLevel="0" collapsed="false">
      <c r="A14" s="30" t="s">
        <v>84</v>
      </c>
      <c r="B14" s="36" t="s">
        <v>83</v>
      </c>
      <c r="C14" s="31"/>
      <c r="D14" s="1"/>
      <c r="E14" s="1"/>
    </row>
    <row r="15" customFormat="false" ht="15" hidden="false" customHeight="false" outlineLevel="0" collapsed="false">
      <c r="A15" s="30" t="s">
        <v>85</v>
      </c>
      <c r="B15" s="36" t="s">
        <v>83</v>
      </c>
      <c r="C15" s="31"/>
      <c r="D15" s="1"/>
      <c r="E15" s="1"/>
    </row>
    <row r="16" customFormat="false" ht="15" hidden="false" customHeight="false" outlineLevel="0" collapsed="false">
      <c r="A16" s="30" t="s">
        <v>86</v>
      </c>
      <c r="B16" s="36" t="s">
        <v>83</v>
      </c>
      <c r="C16" s="31"/>
      <c r="D16" s="1"/>
      <c r="E16" s="1"/>
    </row>
    <row r="17" customFormat="false" ht="15" hidden="false" customHeight="false" outlineLevel="0" collapsed="false">
      <c r="A17" s="30" t="s">
        <v>87</v>
      </c>
      <c r="B17" s="36" t="s">
        <v>83</v>
      </c>
      <c r="C17" s="31"/>
      <c r="D17" s="1"/>
      <c r="E17" s="1"/>
    </row>
    <row r="18" customFormat="false" ht="15" hidden="false" customHeight="false" outlineLevel="0" collapsed="false">
      <c r="A18" s="30" t="s">
        <v>88</v>
      </c>
      <c r="B18" s="36" t="s">
        <v>83</v>
      </c>
      <c r="C18" s="31"/>
      <c r="D18" s="1"/>
      <c r="E18" s="1"/>
    </row>
    <row r="19" customFormat="false" ht="15" hidden="false" customHeight="false" outlineLevel="0" collapsed="false">
      <c r="A19" s="30" t="s">
        <v>89</v>
      </c>
      <c r="B19" s="36" t="s">
        <v>83</v>
      </c>
      <c r="C19" s="31"/>
      <c r="D19" s="1"/>
      <c r="E19" s="1"/>
    </row>
    <row r="20" customFormat="false" ht="15" hidden="false" customHeight="false" outlineLevel="0" collapsed="false">
      <c r="A20" s="30" t="s">
        <v>90</v>
      </c>
      <c r="B20" s="36" t="s">
        <v>83</v>
      </c>
      <c r="C20" s="31"/>
      <c r="D20" s="1"/>
      <c r="E20" s="1"/>
    </row>
    <row r="21" customFormat="false" ht="15" hidden="false" customHeight="false" outlineLevel="0" collapsed="false">
      <c r="A21" s="30" t="s">
        <v>91</v>
      </c>
      <c r="B21" s="36" t="s">
        <v>83</v>
      </c>
      <c r="C21" s="31"/>
      <c r="D21" s="1"/>
      <c r="E21" s="1"/>
    </row>
    <row r="22" customFormat="false" ht="15" hidden="false" customHeight="false" outlineLevel="0" collapsed="false">
      <c r="A22" s="30" t="s">
        <v>92</v>
      </c>
      <c r="B22" s="36" t="s">
        <v>83</v>
      </c>
      <c r="C22" s="31"/>
      <c r="D22" s="1"/>
      <c r="E22" s="1"/>
    </row>
    <row r="23" customFormat="false" ht="15" hidden="false" customHeight="false" outlineLevel="0" collapsed="false">
      <c r="A23" s="30" t="s">
        <v>93</v>
      </c>
      <c r="B23" s="36" t="s">
        <v>83</v>
      </c>
      <c r="C23" s="31"/>
      <c r="D23" s="1"/>
      <c r="E23" s="1"/>
    </row>
    <row r="24" customFormat="false" ht="15" hidden="false" customHeight="false" outlineLevel="0" collapsed="false">
      <c r="A24" s="30" t="s">
        <v>94</v>
      </c>
      <c r="B24" s="36" t="s">
        <v>83</v>
      </c>
      <c r="C24" s="31"/>
      <c r="D24" s="1"/>
      <c r="E24" s="1"/>
    </row>
    <row r="25" customFormat="false" ht="15" hidden="false" customHeight="false" outlineLevel="0" collapsed="false">
      <c r="A25" s="30"/>
      <c r="B25" s="36" t="s">
        <v>83</v>
      </c>
      <c r="C25" s="31"/>
      <c r="D25" s="1"/>
      <c r="E25" s="1"/>
    </row>
    <row r="26" customFormat="false" ht="15" hidden="false" customHeight="false" outlineLevel="0" collapsed="false">
      <c r="A26" s="30"/>
      <c r="B26" s="36" t="s">
        <v>83</v>
      </c>
      <c r="C26" s="31"/>
      <c r="D26" s="1"/>
      <c r="E26" s="1"/>
    </row>
    <row r="27" customFormat="false" ht="15" hidden="false" customHeight="false" outlineLevel="0" collapsed="false">
      <c r="A27" s="30"/>
      <c r="B27" s="36" t="s">
        <v>83</v>
      </c>
      <c r="C27" s="31"/>
      <c r="D27" s="1"/>
      <c r="E27" s="1"/>
    </row>
    <row r="28" customFormat="false" ht="15" hidden="false" customHeight="false" outlineLevel="0" collapsed="false">
      <c r="A28" s="30"/>
      <c r="B28" s="36" t="s">
        <v>83</v>
      </c>
      <c r="C28" s="31"/>
      <c r="D28" s="1"/>
      <c r="E28" s="1"/>
    </row>
    <row r="29" customFormat="false" ht="15" hidden="false" customHeight="false" outlineLevel="0" collapsed="false">
      <c r="A29" s="30"/>
      <c r="B29" s="36" t="s">
        <v>83</v>
      </c>
      <c r="C29" s="31"/>
      <c r="D29" s="1"/>
      <c r="E29" s="1"/>
    </row>
    <row r="30" customFormat="false" ht="15" hidden="false" customHeight="false" outlineLevel="0" collapsed="false">
      <c r="A30" s="30"/>
      <c r="B30" s="36" t="s">
        <v>83</v>
      </c>
      <c r="C30" s="31"/>
      <c r="D30" s="1"/>
      <c r="E30" s="1"/>
    </row>
    <row r="31" customFormat="false" ht="15" hidden="false" customHeight="false" outlineLevel="0" collapsed="false">
      <c r="A31" s="30"/>
      <c r="B31" s="36" t="s">
        <v>83</v>
      </c>
      <c r="C31" s="31"/>
      <c r="D31" s="1"/>
      <c r="E31" s="1"/>
    </row>
    <row r="32" customFormat="false" ht="15" hidden="false" customHeight="false" outlineLevel="0" collapsed="false">
      <c r="A32" s="30"/>
      <c r="B32" s="36" t="s">
        <v>83</v>
      </c>
      <c r="C32" s="31"/>
      <c r="D32" s="1"/>
      <c r="E32" s="1"/>
    </row>
    <row r="33" customFormat="false" ht="15" hidden="false" customHeight="false" outlineLevel="0" collapsed="false">
      <c r="A33" s="30"/>
      <c r="B33" s="36" t="s">
        <v>83</v>
      </c>
      <c r="C33" s="31"/>
      <c r="D33" s="1"/>
      <c r="E33" s="1"/>
    </row>
    <row r="34" customFormat="false" ht="15" hidden="false" customHeight="false" outlineLevel="0" collapsed="false">
      <c r="A34" s="30"/>
      <c r="B34" s="36" t="s">
        <v>83</v>
      </c>
      <c r="C34" s="31"/>
      <c r="D34" s="1"/>
      <c r="E34" s="1"/>
    </row>
    <row r="35" customFormat="false" ht="15" hidden="false" customHeight="false" outlineLevel="0" collapsed="false">
      <c r="A35" s="30"/>
      <c r="B35" s="36" t="s">
        <v>83</v>
      </c>
      <c r="C35" s="31"/>
      <c r="D35" s="1"/>
      <c r="E35" s="1"/>
    </row>
    <row r="36" customFormat="false" ht="15" hidden="false" customHeight="false" outlineLevel="0" collapsed="false">
      <c r="A36" s="30"/>
      <c r="B36" s="36" t="s">
        <v>83</v>
      </c>
      <c r="C36" s="31"/>
      <c r="D36" s="1"/>
      <c r="E36" s="1"/>
    </row>
    <row r="37" customFormat="false" ht="15" hidden="false" customHeight="false" outlineLevel="0" collapsed="false">
      <c r="A37" s="30"/>
      <c r="B37" s="36" t="s">
        <v>83</v>
      </c>
      <c r="C37" s="31"/>
      <c r="D37" s="1"/>
      <c r="E3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14" min="3" style="0" width="10.51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3"/>
    <col collapsed="false" customWidth="true" hidden="false" outlineLevel="0" max="18" min="18" style="0" width="14"/>
    <col collapsed="false" customWidth="true" hidden="true" outlineLevel="0" max="19" min="19" style="0" width="4"/>
  </cols>
  <sheetData>
    <row r="1" customFormat="false" ht="30" hidden="false" customHeight="true" outlineLevel="0" collapsed="false">
      <c r="A1" s="28" t="str">
        <f aca="false">"Monatsübersicht "&amp;Start!C6</f>
        <v>Monatsübersicht 2027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16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5" hidden="true" customHeight="false" outlineLevel="0" collapsed="false">
      <c r="A3" s="1"/>
      <c r="B3" s="1"/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/>
      <c r="P3" s="1"/>
      <c r="Q3" s="1"/>
      <c r="R3" s="1"/>
      <c r="S3" s="1"/>
    </row>
    <row r="4" customFormat="false" ht="30" hidden="false" customHeight="true" outlineLevel="0" collapsed="false">
      <c r="A4" s="25" t="s">
        <v>57</v>
      </c>
      <c r="B4" s="25" t="s">
        <v>96</v>
      </c>
      <c r="C4" s="25" t="s">
        <v>44</v>
      </c>
      <c r="D4" s="25" t="s">
        <v>45</v>
      </c>
      <c r="E4" s="25" t="s">
        <v>46</v>
      </c>
      <c r="F4" s="25" t="s">
        <v>47</v>
      </c>
      <c r="G4" s="25" t="s">
        <v>48</v>
      </c>
      <c r="H4" s="25" t="s">
        <v>49</v>
      </c>
      <c r="I4" s="25" t="s">
        <v>50</v>
      </c>
      <c r="J4" s="25" t="s">
        <v>51</v>
      </c>
      <c r="K4" s="25" t="s">
        <v>52</v>
      </c>
      <c r="L4" s="25" t="s">
        <v>53</v>
      </c>
      <c r="M4" s="25" t="s">
        <v>54</v>
      </c>
      <c r="N4" s="25" t="s">
        <v>55</v>
      </c>
      <c r="O4" s="25" t="s">
        <v>58</v>
      </c>
      <c r="P4" s="25" t="s">
        <v>97</v>
      </c>
      <c r="Q4" s="25" t="s">
        <v>98</v>
      </c>
      <c r="R4" s="25" t="s">
        <v>99</v>
      </c>
      <c r="S4" s="1"/>
    </row>
    <row r="5" customFormat="false" ht="15" hidden="false" customHeight="false" outlineLevel="0" collapsed="false">
      <c r="A5" s="37" t="s">
        <v>29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1"/>
    </row>
    <row r="6" customFormat="false" ht="15" hidden="false" customHeight="false" outlineLevel="0" collapsed="false">
      <c r="A6" s="10" t="str">
        <f aca="false">IF(Kategorien!A5="","",Kategorien!A5)</f>
        <v>Gehalt / Lohn</v>
      </c>
      <c r="B6" s="39" t="n">
        <f aca="false">IF($A6="",0,N(Kategorien!C5))</f>
        <v>0</v>
      </c>
      <c r="C6" s="39" t="n">
        <f aca="false">IF($A6="",0,SUMIFS(Buchungen!$D$5:$D$1004,Buchungen!$B$5:$B$1004,$A6,Buchungen!$A$5:$A$1004,"&gt;="&amp;DATE(Start!$C$6,C$3,1),Buchungen!$A$5:$A$1004,"&lt;"&amp;DATE(Start!$C$6,C$3+1,1)))</f>
        <v>2100</v>
      </c>
      <c r="D6" s="39" t="n">
        <f aca="false">IF($A6="",0,SUMIFS(Buchungen!$D$5:$D$1004,Buchungen!$B$5:$B$1004,$A6,Buchungen!$A$5:$A$1004,"&gt;="&amp;DATE(Start!$C$6,D$3,1),Buchungen!$A$5:$A$1004,"&lt;"&amp;DATE(Start!$C$6,D$3+1,1)))</f>
        <v>0</v>
      </c>
      <c r="E6" s="39" t="n">
        <f aca="false">IF($A6="",0,SUMIFS(Buchungen!$D$5:$D$1004,Buchungen!$B$5:$B$1004,$A6,Buchungen!$A$5:$A$1004,"&gt;="&amp;DATE(Start!$C$6,E$3,1),Buchungen!$A$5:$A$1004,"&lt;"&amp;DATE(Start!$C$6,E$3+1,1)))</f>
        <v>0</v>
      </c>
      <c r="F6" s="39" t="n">
        <f aca="false">IF($A6="",0,SUMIFS(Buchungen!$D$5:$D$1004,Buchungen!$B$5:$B$1004,$A6,Buchungen!$A$5:$A$1004,"&gt;="&amp;DATE(Start!$C$6,F$3,1),Buchungen!$A$5:$A$1004,"&lt;"&amp;DATE(Start!$C$6,F$3+1,1)))</f>
        <v>0</v>
      </c>
      <c r="G6" s="39" t="n">
        <f aca="false">IF($A6="",0,SUMIFS(Buchungen!$D$5:$D$1004,Buchungen!$B$5:$B$1004,$A6,Buchungen!$A$5:$A$1004,"&gt;="&amp;DATE(Start!$C$6,G$3,1),Buchungen!$A$5:$A$1004,"&lt;"&amp;DATE(Start!$C$6,G$3+1,1)))</f>
        <v>0</v>
      </c>
      <c r="H6" s="39" t="n">
        <f aca="false">IF($A6="",0,SUMIFS(Buchungen!$D$5:$D$1004,Buchungen!$B$5:$B$1004,$A6,Buchungen!$A$5:$A$1004,"&gt;="&amp;DATE(Start!$C$6,H$3,1),Buchungen!$A$5:$A$1004,"&lt;"&amp;DATE(Start!$C$6,H$3+1,1)))</f>
        <v>0</v>
      </c>
      <c r="I6" s="39" t="n">
        <f aca="false">IF($A6="",0,SUMIFS(Buchungen!$D$5:$D$1004,Buchungen!$B$5:$B$1004,$A6,Buchungen!$A$5:$A$1004,"&gt;="&amp;DATE(Start!$C$6,I$3,1),Buchungen!$A$5:$A$1004,"&lt;"&amp;DATE(Start!$C$6,I$3+1,1)))</f>
        <v>0</v>
      </c>
      <c r="J6" s="39" t="n">
        <f aca="false">IF($A6="",0,SUMIFS(Buchungen!$D$5:$D$1004,Buchungen!$B$5:$B$1004,$A6,Buchungen!$A$5:$A$1004,"&gt;="&amp;DATE(Start!$C$6,J$3,1),Buchungen!$A$5:$A$1004,"&lt;"&amp;DATE(Start!$C$6,J$3+1,1)))</f>
        <v>0</v>
      </c>
      <c r="K6" s="39" t="n">
        <f aca="false">IF($A6="",0,SUMIFS(Buchungen!$D$5:$D$1004,Buchungen!$B$5:$B$1004,$A6,Buchungen!$A$5:$A$1004,"&gt;="&amp;DATE(Start!$C$6,K$3,1),Buchungen!$A$5:$A$1004,"&lt;"&amp;DATE(Start!$C$6,K$3+1,1)))</f>
        <v>0</v>
      </c>
      <c r="L6" s="39" t="n">
        <f aca="false">IF($A6="",0,SUMIFS(Buchungen!$D$5:$D$1004,Buchungen!$B$5:$B$1004,$A6,Buchungen!$A$5:$A$1004,"&gt;="&amp;DATE(Start!$C$6,L$3,1),Buchungen!$A$5:$A$1004,"&lt;"&amp;DATE(Start!$C$6,L$3+1,1)))</f>
        <v>0</v>
      </c>
      <c r="M6" s="39" t="n">
        <f aca="false">IF($A6="",0,SUMIFS(Buchungen!$D$5:$D$1004,Buchungen!$B$5:$B$1004,$A6,Buchungen!$A$5:$A$1004,"&gt;="&amp;DATE(Start!$C$6,M$3,1),Buchungen!$A$5:$A$1004,"&lt;"&amp;DATE(Start!$C$6,M$3+1,1)))</f>
        <v>0</v>
      </c>
      <c r="N6" s="39" t="n">
        <f aca="false">IF($A6="",0,SUMIFS(Buchungen!$D$5:$D$1004,Buchungen!$B$5:$B$1004,$A6,Buchungen!$A$5:$A$1004,"&gt;="&amp;DATE(Start!$C$6,N$3,1),Buchungen!$A$5:$A$1004,"&lt;"&amp;DATE(Start!$C$6,N$3+1,1)))</f>
        <v>0</v>
      </c>
      <c r="O6" s="40" t="n">
        <f aca="false">SUM(C6:N6)</f>
        <v>2100</v>
      </c>
      <c r="P6" s="39" t="n">
        <f aca="false">IF($A6="","",O6/MAX(1,$B$48))</f>
        <v>2100</v>
      </c>
      <c r="Q6" s="39" t="str">
        <f aca="false">IF(OR($A6="",$B6=0),"",B6*$B$48)</f>
        <v/>
      </c>
      <c r="R6" s="39" t="str">
        <f aca="false">IF(OR($A6="",$B6=0),"",O6-Q6)</f>
        <v/>
      </c>
      <c r="S6" s="1"/>
    </row>
    <row r="7" customFormat="false" ht="15" hidden="false" customHeight="false" outlineLevel="0" collapsed="false">
      <c r="A7" s="10" t="str">
        <f aca="false">IF(Kategorien!A6="","",Kategorien!A6)</f>
        <v>Nebenjob</v>
      </c>
      <c r="B7" s="39" t="n">
        <f aca="false">IF($A7="",0,N(Kategorien!C6))</f>
        <v>0</v>
      </c>
      <c r="C7" s="39" t="n">
        <f aca="false">IF($A7="",0,SUMIFS(Buchungen!$D$5:$D$1004,Buchungen!$B$5:$B$1004,$A7,Buchungen!$A$5:$A$1004,"&gt;="&amp;DATE(Start!$C$6,C$3,1),Buchungen!$A$5:$A$1004,"&lt;"&amp;DATE(Start!$C$6,C$3+1,1)))</f>
        <v>0</v>
      </c>
      <c r="D7" s="39" t="n">
        <f aca="false">IF($A7="",0,SUMIFS(Buchungen!$D$5:$D$1004,Buchungen!$B$5:$B$1004,$A7,Buchungen!$A$5:$A$1004,"&gt;="&amp;DATE(Start!$C$6,D$3,1),Buchungen!$A$5:$A$1004,"&lt;"&amp;DATE(Start!$C$6,D$3+1,1)))</f>
        <v>0</v>
      </c>
      <c r="E7" s="39" t="n">
        <f aca="false">IF($A7="",0,SUMIFS(Buchungen!$D$5:$D$1004,Buchungen!$B$5:$B$1004,$A7,Buchungen!$A$5:$A$1004,"&gt;="&amp;DATE(Start!$C$6,E$3,1),Buchungen!$A$5:$A$1004,"&lt;"&amp;DATE(Start!$C$6,E$3+1,1)))</f>
        <v>0</v>
      </c>
      <c r="F7" s="39" t="n">
        <f aca="false">IF($A7="",0,SUMIFS(Buchungen!$D$5:$D$1004,Buchungen!$B$5:$B$1004,$A7,Buchungen!$A$5:$A$1004,"&gt;="&amp;DATE(Start!$C$6,F$3,1),Buchungen!$A$5:$A$1004,"&lt;"&amp;DATE(Start!$C$6,F$3+1,1)))</f>
        <v>0</v>
      </c>
      <c r="G7" s="39" t="n">
        <f aca="false">IF($A7="",0,SUMIFS(Buchungen!$D$5:$D$1004,Buchungen!$B$5:$B$1004,$A7,Buchungen!$A$5:$A$1004,"&gt;="&amp;DATE(Start!$C$6,G$3,1),Buchungen!$A$5:$A$1004,"&lt;"&amp;DATE(Start!$C$6,G$3+1,1)))</f>
        <v>0</v>
      </c>
      <c r="H7" s="39" t="n">
        <f aca="false">IF($A7="",0,SUMIFS(Buchungen!$D$5:$D$1004,Buchungen!$B$5:$B$1004,$A7,Buchungen!$A$5:$A$1004,"&gt;="&amp;DATE(Start!$C$6,H$3,1),Buchungen!$A$5:$A$1004,"&lt;"&amp;DATE(Start!$C$6,H$3+1,1)))</f>
        <v>0</v>
      </c>
      <c r="I7" s="39" t="n">
        <f aca="false">IF($A7="",0,SUMIFS(Buchungen!$D$5:$D$1004,Buchungen!$B$5:$B$1004,$A7,Buchungen!$A$5:$A$1004,"&gt;="&amp;DATE(Start!$C$6,I$3,1),Buchungen!$A$5:$A$1004,"&lt;"&amp;DATE(Start!$C$6,I$3+1,1)))</f>
        <v>0</v>
      </c>
      <c r="J7" s="39" t="n">
        <f aca="false">IF($A7="",0,SUMIFS(Buchungen!$D$5:$D$1004,Buchungen!$B$5:$B$1004,$A7,Buchungen!$A$5:$A$1004,"&gt;="&amp;DATE(Start!$C$6,J$3,1),Buchungen!$A$5:$A$1004,"&lt;"&amp;DATE(Start!$C$6,J$3+1,1)))</f>
        <v>0</v>
      </c>
      <c r="K7" s="39" t="n">
        <f aca="false">IF($A7="",0,SUMIFS(Buchungen!$D$5:$D$1004,Buchungen!$B$5:$B$1004,$A7,Buchungen!$A$5:$A$1004,"&gt;="&amp;DATE(Start!$C$6,K$3,1),Buchungen!$A$5:$A$1004,"&lt;"&amp;DATE(Start!$C$6,K$3+1,1)))</f>
        <v>0</v>
      </c>
      <c r="L7" s="39" t="n">
        <f aca="false">IF($A7="",0,SUMIFS(Buchungen!$D$5:$D$1004,Buchungen!$B$5:$B$1004,$A7,Buchungen!$A$5:$A$1004,"&gt;="&amp;DATE(Start!$C$6,L$3,1),Buchungen!$A$5:$A$1004,"&lt;"&amp;DATE(Start!$C$6,L$3+1,1)))</f>
        <v>0</v>
      </c>
      <c r="M7" s="39" t="n">
        <f aca="false">IF($A7="",0,SUMIFS(Buchungen!$D$5:$D$1004,Buchungen!$B$5:$B$1004,$A7,Buchungen!$A$5:$A$1004,"&gt;="&amp;DATE(Start!$C$6,M$3,1),Buchungen!$A$5:$A$1004,"&lt;"&amp;DATE(Start!$C$6,M$3+1,1)))</f>
        <v>0</v>
      </c>
      <c r="N7" s="39" t="n">
        <f aca="false">IF($A7="",0,SUMIFS(Buchungen!$D$5:$D$1004,Buchungen!$B$5:$B$1004,$A7,Buchungen!$A$5:$A$1004,"&gt;="&amp;DATE(Start!$C$6,N$3,1),Buchungen!$A$5:$A$1004,"&lt;"&amp;DATE(Start!$C$6,N$3+1,1)))</f>
        <v>0</v>
      </c>
      <c r="O7" s="40" t="n">
        <f aca="false">SUM(C7:N7)</f>
        <v>0</v>
      </c>
      <c r="P7" s="39" t="n">
        <f aca="false">IF($A7="","",O7/MAX(1,$B$48))</f>
        <v>0</v>
      </c>
      <c r="Q7" s="39" t="str">
        <f aca="false">IF(OR($A7="",$B7=0),"",B7*$B$48)</f>
        <v/>
      </c>
      <c r="R7" s="39" t="str">
        <f aca="false">IF(OR($A7="",$B7=0),"",O7-Q7)</f>
        <v/>
      </c>
      <c r="S7" s="1"/>
    </row>
    <row r="8" customFormat="false" ht="15" hidden="false" customHeight="false" outlineLevel="0" collapsed="false">
      <c r="A8" s="10" t="str">
        <f aca="false">IF(Kategorien!A7="","",Kategorien!A7)</f>
        <v>Verkäufe (Kleinanzeigen etc.)</v>
      </c>
      <c r="B8" s="39" t="n">
        <f aca="false">IF($A8="",0,N(Kategorien!C7))</f>
        <v>0</v>
      </c>
      <c r="C8" s="39" t="n">
        <f aca="false">IF($A8="",0,SUMIFS(Buchungen!$D$5:$D$1004,Buchungen!$B$5:$B$1004,$A8,Buchungen!$A$5:$A$1004,"&gt;="&amp;DATE(Start!$C$6,C$3,1),Buchungen!$A$5:$A$1004,"&lt;"&amp;DATE(Start!$C$6,C$3+1,1)))</f>
        <v>0</v>
      </c>
      <c r="D8" s="39" t="n">
        <f aca="false">IF($A8="",0,SUMIFS(Buchungen!$D$5:$D$1004,Buchungen!$B$5:$B$1004,$A8,Buchungen!$A$5:$A$1004,"&gt;="&amp;DATE(Start!$C$6,D$3,1),Buchungen!$A$5:$A$1004,"&lt;"&amp;DATE(Start!$C$6,D$3+1,1)))</f>
        <v>0</v>
      </c>
      <c r="E8" s="39" t="n">
        <f aca="false">IF($A8="",0,SUMIFS(Buchungen!$D$5:$D$1004,Buchungen!$B$5:$B$1004,$A8,Buchungen!$A$5:$A$1004,"&gt;="&amp;DATE(Start!$C$6,E$3,1),Buchungen!$A$5:$A$1004,"&lt;"&amp;DATE(Start!$C$6,E$3+1,1)))</f>
        <v>0</v>
      </c>
      <c r="F8" s="39" t="n">
        <f aca="false">IF($A8="",0,SUMIFS(Buchungen!$D$5:$D$1004,Buchungen!$B$5:$B$1004,$A8,Buchungen!$A$5:$A$1004,"&gt;="&amp;DATE(Start!$C$6,F$3,1),Buchungen!$A$5:$A$1004,"&lt;"&amp;DATE(Start!$C$6,F$3+1,1)))</f>
        <v>0</v>
      </c>
      <c r="G8" s="39" t="n">
        <f aca="false">IF($A8="",0,SUMIFS(Buchungen!$D$5:$D$1004,Buchungen!$B$5:$B$1004,$A8,Buchungen!$A$5:$A$1004,"&gt;="&amp;DATE(Start!$C$6,G$3,1),Buchungen!$A$5:$A$1004,"&lt;"&amp;DATE(Start!$C$6,G$3+1,1)))</f>
        <v>0</v>
      </c>
      <c r="H8" s="39" t="n">
        <f aca="false">IF($A8="",0,SUMIFS(Buchungen!$D$5:$D$1004,Buchungen!$B$5:$B$1004,$A8,Buchungen!$A$5:$A$1004,"&gt;="&amp;DATE(Start!$C$6,H$3,1),Buchungen!$A$5:$A$1004,"&lt;"&amp;DATE(Start!$C$6,H$3+1,1)))</f>
        <v>0</v>
      </c>
      <c r="I8" s="39" t="n">
        <f aca="false">IF($A8="",0,SUMIFS(Buchungen!$D$5:$D$1004,Buchungen!$B$5:$B$1004,$A8,Buchungen!$A$5:$A$1004,"&gt;="&amp;DATE(Start!$C$6,I$3,1),Buchungen!$A$5:$A$1004,"&lt;"&amp;DATE(Start!$C$6,I$3+1,1)))</f>
        <v>0</v>
      </c>
      <c r="J8" s="39" t="n">
        <f aca="false">IF($A8="",0,SUMIFS(Buchungen!$D$5:$D$1004,Buchungen!$B$5:$B$1004,$A8,Buchungen!$A$5:$A$1004,"&gt;="&amp;DATE(Start!$C$6,J$3,1),Buchungen!$A$5:$A$1004,"&lt;"&amp;DATE(Start!$C$6,J$3+1,1)))</f>
        <v>0</v>
      </c>
      <c r="K8" s="39" t="n">
        <f aca="false">IF($A8="",0,SUMIFS(Buchungen!$D$5:$D$1004,Buchungen!$B$5:$B$1004,$A8,Buchungen!$A$5:$A$1004,"&gt;="&amp;DATE(Start!$C$6,K$3,1),Buchungen!$A$5:$A$1004,"&lt;"&amp;DATE(Start!$C$6,K$3+1,1)))</f>
        <v>0</v>
      </c>
      <c r="L8" s="39" t="n">
        <f aca="false">IF($A8="",0,SUMIFS(Buchungen!$D$5:$D$1004,Buchungen!$B$5:$B$1004,$A8,Buchungen!$A$5:$A$1004,"&gt;="&amp;DATE(Start!$C$6,L$3,1),Buchungen!$A$5:$A$1004,"&lt;"&amp;DATE(Start!$C$6,L$3+1,1)))</f>
        <v>0</v>
      </c>
      <c r="M8" s="39" t="n">
        <f aca="false">IF($A8="",0,SUMIFS(Buchungen!$D$5:$D$1004,Buchungen!$B$5:$B$1004,$A8,Buchungen!$A$5:$A$1004,"&gt;="&amp;DATE(Start!$C$6,M$3,1),Buchungen!$A$5:$A$1004,"&lt;"&amp;DATE(Start!$C$6,M$3+1,1)))</f>
        <v>0</v>
      </c>
      <c r="N8" s="39" t="n">
        <f aca="false">IF($A8="",0,SUMIFS(Buchungen!$D$5:$D$1004,Buchungen!$B$5:$B$1004,$A8,Buchungen!$A$5:$A$1004,"&gt;="&amp;DATE(Start!$C$6,N$3,1),Buchungen!$A$5:$A$1004,"&lt;"&amp;DATE(Start!$C$6,N$3+1,1)))</f>
        <v>0</v>
      </c>
      <c r="O8" s="40" t="n">
        <f aca="false">SUM(C8:N8)</f>
        <v>0</v>
      </c>
      <c r="P8" s="39" t="n">
        <f aca="false">IF($A8="","",O8/MAX(1,$B$48))</f>
        <v>0</v>
      </c>
      <c r="Q8" s="39" t="str">
        <f aca="false">IF(OR($A8="",$B8=0),"",B8*$B$48)</f>
        <v/>
      </c>
      <c r="R8" s="39" t="str">
        <f aca="false">IF(OR($A8="",$B8=0),"",O8-Q8)</f>
        <v/>
      </c>
      <c r="S8" s="1"/>
    </row>
    <row r="9" customFormat="false" ht="15" hidden="false" customHeight="false" outlineLevel="0" collapsed="false">
      <c r="A9" s="10" t="str">
        <f aca="false">IF(Kategorien!A8="","",Kategorien!A8)</f>
        <v>Sonstige Einnahmen</v>
      </c>
      <c r="B9" s="39" t="n">
        <f aca="false">IF($A9="",0,N(Kategorien!C8))</f>
        <v>0</v>
      </c>
      <c r="C9" s="39" t="n">
        <f aca="false">IF($A9="",0,SUMIFS(Buchungen!$D$5:$D$1004,Buchungen!$B$5:$B$1004,$A9,Buchungen!$A$5:$A$1004,"&gt;="&amp;DATE(Start!$C$6,C$3,1),Buchungen!$A$5:$A$1004,"&lt;"&amp;DATE(Start!$C$6,C$3+1,1)))</f>
        <v>0</v>
      </c>
      <c r="D9" s="39" t="n">
        <f aca="false">IF($A9="",0,SUMIFS(Buchungen!$D$5:$D$1004,Buchungen!$B$5:$B$1004,$A9,Buchungen!$A$5:$A$1004,"&gt;="&amp;DATE(Start!$C$6,D$3,1),Buchungen!$A$5:$A$1004,"&lt;"&amp;DATE(Start!$C$6,D$3+1,1)))</f>
        <v>0</v>
      </c>
      <c r="E9" s="39" t="n">
        <f aca="false">IF($A9="",0,SUMIFS(Buchungen!$D$5:$D$1004,Buchungen!$B$5:$B$1004,$A9,Buchungen!$A$5:$A$1004,"&gt;="&amp;DATE(Start!$C$6,E$3,1),Buchungen!$A$5:$A$1004,"&lt;"&amp;DATE(Start!$C$6,E$3+1,1)))</f>
        <v>0</v>
      </c>
      <c r="F9" s="39" t="n">
        <f aca="false">IF($A9="",0,SUMIFS(Buchungen!$D$5:$D$1004,Buchungen!$B$5:$B$1004,$A9,Buchungen!$A$5:$A$1004,"&gt;="&amp;DATE(Start!$C$6,F$3,1),Buchungen!$A$5:$A$1004,"&lt;"&amp;DATE(Start!$C$6,F$3+1,1)))</f>
        <v>0</v>
      </c>
      <c r="G9" s="39" t="n">
        <f aca="false">IF($A9="",0,SUMIFS(Buchungen!$D$5:$D$1004,Buchungen!$B$5:$B$1004,$A9,Buchungen!$A$5:$A$1004,"&gt;="&amp;DATE(Start!$C$6,G$3,1),Buchungen!$A$5:$A$1004,"&lt;"&amp;DATE(Start!$C$6,G$3+1,1)))</f>
        <v>0</v>
      </c>
      <c r="H9" s="39" t="n">
        <f aca="false">IF($A9="",0,SUMIFS(Buchungen!$D$5:$D$1004,Buchungen!$B$5:$B$1004,$A9,Buchungen!$A$5:$A$1004,"&gt;="&amp;DATE(Start!$C$6,H$3,1),Buchungen!$A$5:$A$1004,"&lt;"&amp;DATE(Start!$C$6,H$3+1,1)))</f>
        <v>0</v>
      </c>
      <c r="I9" s="39" t="n">
        <f aca="false">IF($A9="",0,SUMIFS(Buchungen!$D$5:$D$1004,Buchungen!$B$5:$B$1004,$A9,Buchungen!$A$5:$A$1004,"&gt;="&amp;DATE(Start!$C$6,I$3,1),Buchungen!$A$5:$A$1004,"&lt;"&amp;DATE(Start!$C$6,I$3+1,1)))</f>
        <v>0</v>
      </c>
      <c r="J9" s="39" t="n">
        <f aca="false">IF($A9="",0,SUMIFS(Buchungen!$D$5:$D$1004,Buchungen!$B$5:$B$1004,$A9,Buchungen!$A$5:$A$1004,"&gt;="&amp;DATE(Start!$C$6,J$3,1),Buchungen!$A$5:$A$1004,"&lt;"&amp;DATE(Start!$C$6,J$3+1,1)))</f>
        <v>0</v>
      </c>
      <c r="K9" s="39" t="n">
        <f aca="false">IF($A9="",0,SUMIFS(Buchungen!$D$5:$D$1004,Buchungen!$B$5:$B$1004,$A9,Buchungen!$A$5:$A$1004,"&gt;="&amp;DATE(Start!$C$6,K$3,1),Buchungen!$A$5:$A$1004,"&lt;"&amp;DATE(Start!$C$6,K$3+1,1)))</f>
        <v>0</v>
      </c>
      <c r="L9" s="39" t="n">
        <f aca="false">IF($A9="",0,SUMIFS(Buchungen!$D$5:$D$1004,Buchungen!$B$5:$B$1004,$A9,Buchungen!$A$5:$A$1004,"&gt;="&amp;DATE(Start!$C$6,L$3,1),Buchungen!$A$5:$A$1004,"&lt;"&amp;DATE(Start!$C$6,L$3+1,1)))</f>
        <v>0</v>
      </c>
      <c r="M9" s="39" t="n">
        <f aca="false">IF($A9="",0,SUMIFS(Buchungen!$D$5:$D$1004,Buchungen!$B$5:$B$1004,$A9,Buchungen!$A$5:$A$1004,"&gt;="&amp;DATE(Start!$C$6,M$3,1),Buchungen!$A$5:$A$1004,"&lt;"&amp;DATE(Start!$C$6,M$3+1,1)))</f>
        <v>0</v>
      </c>
      <c r="N9" s="39" t="n">
        <f aca="false">IF($A9="",0,SUMIFS(Buchungen!$D$5:$D$1004,Buchungen!$B$5:$B$1004,$A9,Buchungen!$A$5:$A$1004,"&gt;="&amp;DATE(Start!$C$6,N$3,1),Buchungen!$A$5:$A$1004,"&lt;"&amp;DATE(Start!$C$6,N$3+1,1)))</f>
        <v>0</v>
      </c>
      <c r="O9" s="40" t="n">
        <f aca="false">SUM(C9:N9)</f>
        <v>0</v>
      </c>
      <c r="P9" s="39" t="n">
        <f aca="false">IF($A9="","",O9/MAX(1,$B$48))</f>
        <v>0</v>
      </c>
      <c r="Q9" s="39" t="str">
        <f aca="false">IF(OR($A9="",$B9=0),"",B9*$B$48)</f>
        <v/>
      </c>
      <c r="R9" s="39" t="str">
        <f aca="false">IF(OR($A9="",$B9=0),"",O9-Q9)</f>
        <v/>
      </c>
      <c r="S9" s="1"/>
    </row>
    <row r="10" customFormat="false" ht="15" hidden="false" customHeight="false" outlineLevel="0" collapsed="false">
      <c r="A10" s="10" t="str">
        <f aca="false">IF(Kategorien!A9="","",Kategorien!A9)</f>
        <v/>
      </c>
      <c r="B10" s="39" t="n">
        <f aca="false">IF($A10="",0,N(Kategorien!C9))</f>
        <v>0</v>
      </c>
      <c r="C10" s="39" t="n">
        <f aca="false">IF($A10="",0,SUMIFS(Buchungen!$D$5:$D$1004,Buchungen!$B$5:$B$1004,$A10,Buchungen!$A$5:$A$1004,"&gt;="&amp;DATE(Start!$C$6,C$3,1),Buchungen!$A$5:$A$1004,"&lt;"&amp;DATE(Start!$C$6,C$3+1,1)))</f>
        <v>0</v>
      </c>
      <c r="D10" s="39" t="n">
        <f aca="false">IF($A10="",0,SUMIFS(Buchungen!$D$5:$D$1004,Buchungen!$B$5:$B$1004,$A10,Buchungen!$A$5:$A$1004,"&gt;="&amp;DATE(Start!$C$6,D$3,1),Buchungen!$A$5:$A$1004,"&lt;"&amp;DATE(Start!$C$6,D$3+1,1)))</f>
        <v>0</v>
      </c>
      <c r="E10" s="39" t="n">
        <f aca="false">IF($A10="",0,SUMIFS(Buchungen!$D$5:$D$1004,Buchungen!$B$5:$B$1004,$A10,Buchungen!$A$5:$A$1004,"&gt;="&amp;DATE(Start!$C$6,E$3,1),Buchungen!$A$5:$A$1004,"&lt;"&amp;DATE(Start!$C$6,E$3+1,1)))</f>
        <v>0</v>
      </c>
      <c r="F10" s="39" t="n">
        <f aca="false">IF($A10="",0,SUMIFS(Buchungen!$D$5:$D$1004,Buchungen!$B$5:$B$1004,$A10,Buchungen!$A$5:$A$1004,"&gt;="&amp;DATE(Start!$C$6,F$3,1),Buchungen!$A$5:$A$1004,"&lt;"&amp;DATE(Start!$C$6,F$3+1,1)))</f>
        <v>0</v>
      </c>
      <c r="G10" s="39" t="n">
        <f aca="false">IF($A10="",0,SUMIFS(Buchungen!$D$5:$D$1004,Buchungen!$B$5:$B$1004,$A10,Buchungen!$A$5:$A$1004,"&gt;="&amp;DATE(Start!$C$6,G$3,1),Buchungen!$A$5:$A$1004,"&lt;"&amp;DATE(Start!$C$6,G$3+1,1)))</f>
        <v>0</v>
      </c>
      <c r="H10" s="39" t="n">
        <f aca="false">IF($A10="",0,SUMIFS(Buchungen!$D$5:$D$1004,Buchungen!$B$5:$B$1004,$A10,Buchungen!$A$5:$A$1004,"&gt;="&amp;DATE(Start!$C$6,H$3,1),Buchungen!$A$5:$A$1004,"&lt;"&amp;DATE(Start!$C$6,H$3+1,1)))</f>
        <v>0</v>
      </c>
      <c r="I10" s="39" t="n">
        <f aca="false">IF($A10="",0,SUMIFS(Buchungen!$D$5:$D$1004,Buchungen!$B$5:$B$1004,$A10,Buchungen!$A$5:$A$1004,"&gt;="&amp;DATE(Start!$C$6,I$3,1),Buchungen!$A$5:$A$1004,"&lt;"&amp;DATE(Start!$C$6,I$3+1,1)))</f>
        <v>0</v>
      </c>
      <c r="J10" s="39" t="n">
        <f aca="false">IF($A10="",0,SUMIFS(Buchungen!$D$5:$D$1004,Buchungen!$B$5:$B$1004,$A10,Buchungen!$A$5:$A$1004,"&gt;="&amp;DATE(Start!$C$6,J$3,1),Buchungen!$A$5:$A$1004,"&lt;"&amp;DATE(Start!$C$6,J$3+1,1)))</f>
        <v>0</v>
      </c>
      <c r="K10" s="39" t="n">
        <f aca="false">IF($A10="",0,SUMIFS(Buchungen!$D$5:$D$1004,Buchungen!$B$5:$B$1004,$A10,Buchungen!$A$5:$A$1004,"&gt;="&amp;DATE(Start!$C$6,K$3,1),Buchungen!$A$5:$A$1004,"&lt;"&amp;DATE(Start!$C$6,K$3+1,1)))</f>
        <v>0</v>
      </c>
      <c r="L10" s="39" t="n">
        <f aca="false">IF($A10="",0,SUMIFS(Buchungen!$D$5:$D$1004,Buchungen!$B$5:$B$1004,$A10,Buchungen!$A$5:$A$1004,"&gt;="&amp;DATE(Start!$C$6,L$3,1),Buchungen!$A$5:$A$1004,"&lt;"&amp;DATE(Start!$C$6,L$3+1,1)))</f>
        <v>0</v>
      </c>
      <c r="M10" s="39" t="n">
        <f aca="false">IF($A10="",0,SUMIFS(Buchungen!$D$5:$D$1004,Buchungen!$B$5:$B$1004,$A10,Buchungen!$A$5:$A$1004,"&gt;="&amp;DATE(Start!$C$6,M$3,1),Buchungen!$A$5:$A$1004,"&lt;"&amp;DATE(Start!$C$6,M$3+1,1)))</f>
        <v>0</v>
      </c>
      <c r="N10" s="39" t="n">
        <f aca="false">IF($A10="",0,SUMIFS(Buchungen!$D$5:$D$1004,Buchungen!$B$5:$B$1004,$A10,Buchungen!$A$5:$A$1004,"&gt;="&amp;DATE(Start!$C$6,N$3,1),Buchungen!$A$5:$A$1004,"&lt;"&amp;DATE(Start!$C$6,N$3+1,1)))</f>
        <v>0</v>
      </c>
      <c r="O10" s="40" t="n">
        <f aca="false">SUM(C10:N10)</f>
        <v>0</v>
      </c>
      <c r="P10" s="39" t="str">
        <f aca="false">IF($A10="","",O10/MAX(1,$B$48))</f>
        <v/>
      </c>
      <c r="Q10" s="39" t="str">
        <f aca="false">IF(OR($A10="",$B10=0),"",B10*$B$48)</f>
        <v/>
      </c>
      <c r="R10" s="39" t="str">
        <f aca="false">IF(OR($A10="",$B10=0),"",O10-Q10)</f>
        <v/>
      </c>
      <c r="S10" s="1"/>
    </row>
    <row r="11" customFormat="false" ht="15" hidden="false" customHeight="false" outlineLevel="0" collapsed="false">
      <c r="A11" s="10" t="str">
        <f aca="false">IF(Kategorien!A10="","",Kategorien!A10)</f>
        <v/>
      </c>
      <c r="B11" s="39" t="n">
        <f aca="false">IF($A11="",0,N(Kategorien!C10))</f>
        <v>0</v>
      </c>
      <c r="C11" s="39" t="n">
        <f aca="false">IF($A11="",0,SUMIFS(Buchungen!$D$5:$D$1004,Buchungen!$B$5:$B$1004,$A11,Buchungen!$A$5:$A$1004,"&gt;="&amp;DATE(Start!$C$6,C$3,1),Buchungen!$A$5:$A$1004,"&lt;"&amp;DATE(Start!$C$6,C$3+1,1)))</f>
        <v>0</v>
      </c>
      <c r="D11" s="39" t="n">
        <f aca="false">IF($A11="",0,SUMIFS(Buchungen!$D$5:$D$1004,Buchungen!$B$5:$B$1004,$A11,Buchungen!$A$5:$A$1004,"&gt;="&amp;DATE(Start!$C$6,D$3,1),Buchungen!$A$5:$A$1004,"&lt;"&amp;DATE(Start!$C$6,D$3+1,1)))</f>
        <v>0</v>
      </c>
      <c r="E11" s="39" t="n">
        <f aca="false">IF($A11="",0,SUMIFS(Buchungen!$D$5:$D$1004,Buchungen!$B$5:$B$1004,$A11,Buchungen!$A$5:$A$1004,"&gt;="&amp;DATE(Start!$C$6,E$3,1),Buchungen!$A$5:$A$1004,"&lt;"&amp;DATE(Start!$C$6,E$3+1,1)))</f>
        <v>0</v>
      </c>
      <c r="F11" s="39" t="n">
        <f aca="false">IF($A11="",0,SUMIFS(Buchungen!$D$5:$D$1004,Buchungen!$B$5:$B$1004,$A11,Buchungen!$A$5:$A$1004,"&gt;="&amp;DATE(Start!$C$6,F$3,1),Buchungen!$A$5:$A$1004,"&lt;"&amp;DATE(Start!$C$6,F$3+1,1)))</f>
        <v>0</v>
      </c>
      <c r="G11" s="39" t="n">
        <f aca="false">IF($A11="",0,SUMIFS(Buchungen!$D$5:$D$1004,Buchungen!$B$5:$B$1004,$A11,Buchungen!$A$5:$A$1004,"&gt;="&amp;DATE(Start!$C$6,G$3,1),Buchungen!$A$5:$A$1004,"&lt;"&amp;DATE(Start!$C$6,G$3+1,1)))</f>
        <v>0</v>
      </c>
      <c r="H11" s="39" t="n">
        <f aca="false">IF($A11="",0,SUMIFS(Buchungen!$D$5:$D$1004,Buchungen!$B$5:$B$1004,$A11,Buchungen!$A$5:$A$1004,"&gt;="&amp;DATE(Start!$C$6,H$3,1),Buchungen!$A$5:$A$1004,"&lt;"&amp;DATE(Start!$C$6,H$3+1,1)))</f>
        <v>0</v>
      </c>
      <c r="I11" s="39" t="n">
        <f aca="false">IF($A11="",0,SUMIFS(Buchungen!$D$5:$D$1004,Buchungen!$B$5:$B$1004,$A11,Buchungen!$A$5:$A$1004,"&gt;="&amp;DATE(Start!$C$6,I$3,1),Buchungen!$A$5:$A$1004,"&lt;"&amp;DATE(Start!$C$6,I$3+1,1)))</f>
        <v>0</v>
      </c>
      <c r="J11" s="39" t="n">
        <f aca="false">IF($A11="",0,SUMIFS(Buchungen!$D$5:$D$1004,Buchungen!$B$5:$B$1004,$A11,Buchungen!$A$5:$A$1004,"&gt;="&amp;DATE(Start!$C$6,J$3,1),Buchungen!$A$5:$A$1004,"&lt;"&amp;DATE(Start!$C$6,J$3+1,1)))</f>
        <v>0</v>
      </c>
      <c r="K11" s="39" t="n">
        <f aca="false">IF($A11="",0,SUMIFS(Buchungen!$D$5:$D$1004,Buchungen!$B$5:$B$1004,$A11,Buchungen!$A$5:$A$1004,"&gt;="&amp;DATE(Start!$C$6,K$3,1),Buchungen!$A$5:$A$1004,"&lt;"&amp;DATE(Start!$C$6,K$3+1,1)))</f>
        <v>0</v>
      </c>
      <c r="L11" s="39" t="n">
        <f aca="false">IF($A11="",0,SUMIFS(Buchungen!$D$5:$D$1004,Buchungen!$B$5:$B$1004,$A11,Buchungen!$A$5:$A$1004,"&gt;="&amp;DATE(Start!$C$6,L$3,1),Buchungen!$A$5:$A$1004,"&lt;"&amp;DATE(Start!$C$6,L$3+1,1)))</f>
        <v>0</v>
      </c>
      <c r="M11" s="39" t="n">
        <f aca="false">IF($A11="",0,SUMIFS(Buchungen!$D$5:$D$1004,Buchungen!$B$5:$B$1004,$A11,Buchungen!$A$5:$A$1004,"&gt;="&amp;DATE(Start!$C$6,M$3,1),Buchungen!$A$5:$A$1004,"&lt;"&amp;DATE(Start!$C$6,M$3+1,1)))</f>
        <v>0</v>
      </c>
      <c r="N11" s="39" t="n">
        <f aca="false">IF($A11="",0,SUMIFS(Buchungen!$D$5:$D$1004,Buchungen!$B$5:$B$1004,$A11,Buchungen!$A$5:$A$1004,"&gt;="&amp;DATE(Start!$C$6,N$3,1),Buchungen!$A$5:$A$1004,"&lt;"&amp;DATE(Start!$C$6,N$3+1,1)))</f>
        <v>0</v>
      </c>
      <c r="O11" s="40" t="n">
        <f aca="false">SUM(C11:N11)</f>
        <v>0</v>
      </c>
      <c r="P11" s="39" t="str">
        <f aca="false">IF($A11="","",O11/MAX(1,$B$48))</f>
        <v/>
      </c>
      <c r="Q11" s="39" t="str">
        <f aca="false">IF(OR($A11="",$B11=0),"",B11*$B$48)</f>
        <v/>
      </c>
      <c r="R11" s="39" t="str">
        <f aca="false">IF(OR($A11="",$B11=0),"",O11-Q11)</f>
        <v/>
      </c>
      <c r="S11" s="1"/>
    </row>
    <row r="12" customFormat="false" ht="15" hidden="false" customHeight="false" outlineLevel="0" collapsed="false">
      <c r="A12" s="10" t="str">
        <f aca="false">IF(Kategorien!A11="","",Kategorien!A11)</f>
        <v/>
      </c>
      <c r="B12" s="39" t="n">
        <f aca="false">IF($A12="",0,N(Kategorien!C11))</f>
        <v>0</v>
      </c>
      <c r="C12" s="39" t="n">
        <f aca="false">IF($A12="",0,SUMIFS(Buchungen!$D$5:$D$1004,Buchungen!$B$5:$B$1004,$A12,Buchungen!$A$5:$A$1004,"&gt;="&amp;DATE(Start!$C$6,C$3,1),Buchungen!$A$5:$A$1004,"&lt;"&amp;DATE(Start!$C$6,C$3+1,1)))</f>
        <v>0</v>
      </c>
      <c r="D12" s="39" t="n">
        <f aca="false">IF($A12="",0,SUMIFS(Buchungen!$D$5:$D$1004,Buchungen!$B$5:$B$1004,$A12,Buchungen!$A$5:$A$1004,"&gt;="&amp;DATE(Start!$C$6,D$3,1),Buchungen!$A$5:$A$1004,"&lt;"&amp;DATE(Start!$C$6,D$3+1,1)))</f>
        <v>0</v>
      </c>
      <c r="E12" s="39" t="n">
        <f aca="false">IF($A12="",0,SUMIFS(Buchungen!$D$5:$D$1004,Buchungen!$B$5:$B$1004,$A12,Buchungen!$A$5:$A$1004,"&gt;="&amp;DATE(Start!$C$6,E$3,1),Buchungen!$A$5:$A$1004,"&lt;"&amp;DATE(Start!$C$6,E$3+1,1)))</f>
        <v>0</v>
      </c>
      <c r="F12" s="39" t="n">
        <f aca="false">IF($A12="",0,SUMIFS(Buchungen!$D$5:$D$1004,Buchungen!$B$5:$B$1004,$A12,Buchungen!$A$5:$A$1004,"&gt;="&amp;DATE(Start!$C$6,F$3,1),Buchungen!$A$5:$A$1004,"&lt;"&amp;DATE(Start!$C$6,F$3+1,1)))</f>
        <v>0</v>
      </c>
      <c r="G12" s="39" t="n">
        <f aca="false">IF($A12="",0,SUMIFS(Buchungen!$D$5:$D$1004,Buchungen!$B$5:$B$1004,$A12,Buchungen!$A$5:$A$1004,"&gt;="&amp;DATE(Start!$C$6,G$3,1),Buchungen!$A$5:$A$1004,"&lt;"&amp;DATE(Start!$C$6,G$3+1,1)))</f>
        <v>0</v>
      </c>
      <c r="H12" s="39" t="n">
        <f aca="false">IF($A12="",0,SUMIFS(Buchungen!$D$5:$D$1004,Buchungen!$B$5:$B$1004,$A12,Buchungen!$A$5:$A$1004,"&gt;="&amp;DATE(Start!$C$6,H$3,1),Buchungen!$A$5:$A$1004,"&lt;"&amp;DATE(Start!$C$6,H$3+1,1)))</f>
        <v>0</v>
      </c>
      <c r="I12" s="39" t="n">
        <f aca="false">IF($A12="",0,SUMIFS(Buchungen!$D$5:$D$1004,Buchungen!$B$5:$B$1004,$A12,Buchungen!$A$5:$A$1004,"&gt;="&amp;DATE(Start!$C$6,I$3,1),Buchungen!$A$5:$A$1004,"&lt;"&amp;DATE(Start!$C$6,I$3+1,1)))</f>
        <v>0</v>
      </c>
      <c r="J12" s="39" t="n">
        <f aca="false">IF($A12="",0,SUMIFS(Buchungen!$D$5:$D$1004,Buchungen!$B$5:$B$1004,$A12,Buchungen!$A$5:$A$1004,"&gt;="&amp;DATE(Start!$C$6,J$3,1),Buchungen!$A$5:$A$1004,"&lt;"&amp;DATE(Start!$C$6,J$3+1,1)))</f>
        <v>0</v>
      </c>
      <c r="K12" s="39" t="n">
        <f aca="false">IF($A12="",0,SUMIFS(Buchungen!$D$5:$D$1004,Buchungen!$B$5:$B$1004,$A12,Buchungen!$A$5:$A$1004,"&gt;="&amp;DATE(Start!$C$6,K$3,1),Buchungen!$A$5:$A$1004,"&lt;"&amp;DATE(Start!$C$6,K$3+1,1)))</f>
        <v>0</v>
      </c>
      <c r="L12" s="39" t="n">
        <f aca="false">IF($A12="",0,SUMIFS(Buchungen!$D$5:$D$1004,Buchungen!$B$5:$B$1004,$A12,Buchungen!$A$5:$A$1004,"&gt;="&amp;DATE(Start!$C$6,L$3,1),Buchungen!$A$5:$A$1004,"&lt;"&amp;DATE(Start!$C$6,L$3+1,1)))</f>
        <v>0</v>
      </c>
      <c r="M12" s="39" t="n">
        <f aca="false">IF($A12="",0,SUMIFS(Buchungen!$D$5:$D$1004,Buchungen!$B$5:$B$1004,$A12,Buchungen!$A$5:$A$1004,"&gt;="&amp;DATE(Start!$C$6,M$3,1),Buchungen!$A$5:$A$1004,"&lt;"&amp;DATE(Start!$C$6,M$3+1,1)))</f>
        <v>0</v>
      </c>
      <c r="N12" s="39" t="n">
        <f aca="false">IF($A12="",0,SUMIFS(Buchungen!$D$5:$D$1004,Buchungen!$B$5:$B$1004,$A12,Buchungen!$A$5:$A$1004,"&gt;="&amp;DATE(Start!$C$6,N$3,1),Buchungen!$A$5:$A$1004,"&lt;"&amp;DATE(Start!$C$6,N$3+1,1)))</f>
        <v>0</v>
      </c>
      <c r="O12" s="40" t="n">
        <f aca="false">SUM(C12:N12)</f>
        <v>0</v>
      </c>
      <c r="P12" s="39" t="str">
        <f aca="false">IF($A12="","",O12/MAX(1,$B$48))</f>
        <v/>
      </c>
      <c r="Q12" s="39" t="str">
        <f aca="false">IF(OR($A12="",$B12=0),"",B12*$B$48)</f>
        <v/>
      </c>
      <c r="R12" s="39" t="str">
        <f aca="false">IF(OR($A12="",$B12=0),"",O12-Q12)</f>
        <v/>
      </c>
      <c r="S12" s="1"/>
    </row>
    <row r="13" customFormat="false" ht="15" hidden="false" customHeight="false" outlineLevel="0" collapsed="false">
      <c r="A13" s="10" t="str">
        <f aca="false">IF(Kategorien!A12="","",Kategorien!A12)</f>
        <v/>
      </c>
      <c r="B13" s="39" t="n">
        <f aca="false">IF($A13="",0,N(Kategorien!C12))</f>
        <v>0</v>
      </c>
      <c r="C13" s="39" t="n">
        <f aca="false">IF($A13="",0,SUMIFS(Buchungen!$D$5:$D$1004,Buchungen!$B$5:$B$1004,$A13,Buchungen!$A$5:$A$1004,"&gt;="&amp;DATE(Start!$C$6,C$3,1),Buchungen!$A$5:$A$1004,"&lt;"&amp;DATE(Start!$C$6,C$3+1,1)))</f>
        <v>0</v>
      </c>
      <c r="D13" s="39" t="n">
        <f aca="false">IF($A13="",0,SUMIFS(Buchungen!$D$5:$D$1004,Buchungen!$B$5:$B$1004,$A13,Buchungen!$A$5:$A$1004,"&gt;="&amp;DATE(Start!$C$6,D$3,1),Buchungen!$A$5:$A$1004,"&lt;"&amp;DATE(Start!$C$6,D$3+1,1)))</f>
        <v>0</v>
      </c>
      <c r="E13" s="39" t="n">
        <f aca="false">IF($A13="",0,SUMIFS(Buchungen!$D$5:$D$1004,Buchungen!$B$5:$B$1004,$A13,Buchungen!$A$5:$A$1004,"&gt;="&amp;DATE(Start!$C$6,E$3,1),Buchungen!$A$5:$A$1004,"&lt;"&amp;DATE(Start!$C$6,E$3+1,1)))</f>
        <v>0</v>
      </c>
      <c r="F13" s="39" t="n">
        <f aca="false">IF($A13="",0,SUMIFS(Buchungen!$D$5:$D$1004,Buchungen!$B$5:$B$1004,$A13,Buchungen!$A$5:$A$1004,"&gt;="&amp;DATE(Start!$C$6,F$3,1),Buchungen!$A$5:$A$1004,"&lt;"&amp;DATE(Start!$C$6,F$3+1,1)))</f>
        <v>0</v>
      </c>
      <c r="G13" s="39" t="n">
        <f aca="false">IF($A13="",0,SUMIFS(Buchungen!$D$5:$D$1004,Buchungen!$B$5:$B$1004,$A13,Buchungen!$A$5:$A$1004,"&gt;="&amp;DATE(Start!$C$6,G$3,1),Buchungen!$A$5:$A$1004,"&lt;"&amp;DATE(Start!$C$6,G$3+1,1)))</f>
        <v>0</v>
      </c>
      <c r="H13" s="39" t="n">
        <f aca="false">IF($A13="",0,SUMIFS(Buchungen!$D$5:$D$1004,Buchungen!$B$5:$B$1004,$A13,Buchungen!$A$5:$A$1004,"&gt;="&amp;DATE(Start!$C$6,H$3,1),Buchungen!$A$5:$A$1004,"&lt;"&amp;DATE(Start!$C$6,H$3+1,1)))</f>
        <v>0</v>
      </c>
      <c r="I13" s="39" t="n">
        <f aca="false">IF($A13="",0,SUMIFS(Buchungen!$D$5:$D$1004,Buchungen!$B$5:$B$1004,$A13,Buchungen!$A$5:$A$1004,"&gt;="&amp;DATE(Start!$C$6,I$3,1),Buchungen!$A$5:$A$1004,"&lt;"&amp;DATE(Start!$C$6,I$3+1,1)))</f>
        <v>0</v>
      </c>
      <c r="J13" s="39" t="n">
        <f aca="false">IF($A13="",0,SUMIFS(Buchungen!$D$5:$D$1004,Buchungen!$B$5:$B$1004,$A13,Buchungen!$A$5:$A$1004,"&gt;="&amp;DATE(Start!$C$6,J$3,1),Buchungen!$A$5:$A$1004,"&lt;"&amp;DATE(Start!$C$6,J$3+1,1)))</f>
        <v>0</v>
      </c>
      <c r="K13" s="39" t="n">
        <f aca="false">IF($A13="",0,SUMIFS(Buchungen!$D$5:$D$1004,Buchungen!$B$5:$B$1004,$A13,Buchungen!$A$5:$A$1004,"&gt;="&amp;DATE(Start!$C$6,K$3,1),Buchungen!$A$5:$A$1004,"&lt;"&amp;DATE(Start!$C$6,K$3+1,1)))</f>
        <v>0</v>
      </c>
      <c r="L13" s="39" t="n">
        <f aca="false">IF($A13="",0,SUMIFS(Buchungen!$D$5:$D$1004,Buchungen!$B$5:$B$1004,$A13,Buchungen!$A$5:$A$1004,"&gt;="&amp;DATE(Start!$C$6,L$3,1),Buchungen!$A$5:$A$1004,"&lt;"&amp;DATE(Start!$C$6,L$3+1,1)))</f>
        <v>0</v>
      </c>
      <c r="M13" s="39" t="n">
        <f aca="false">IF($A13="",0,SUMIFS(Buchungen!$D$5:$D$1004,Buchungen!$B$5:$B$1004,$A13,Buchungen!$A$5:$A$1004,"&gt;="&amp;DATE(Start!$C$6,M$3,1),Buchungen!$A$5:$A$1004,"&lt;"&amp;DATE(Start!$C$6,M$3+1,1)))</f>
        <v>0</v>
      </c>
      <c r="N13" s="39" t="n">
        <f aca="false">IF($A13="",0,SUMIFS(Buchungen!$D$5:$D$1004,Buchungen!$B$5:$B$1004,$A13,Buchungen!$A$5:$A$1004,"&gt;="&amp;DATE(Start!$C$6,N$3,1),Buchungen!$A$5:$A$1004,"&lt;"&amp;DATE(Start!$C$6,N$3+1,1)))</f>
        <v>0</v>
      </c>
      <c r="O13" s="40" t="n">
        <f aca="false">SUM(C13:N13)</f>
        <v>0</v>
      </c>
      <c r="P13" s="39" t="str">
        <f aca="false">IF($A13="","",O13/MAX(1,$B$48))</f>
        <v/>
      </c>
      <c r="Q13" s="39" t="str">
        <f aca="false">IF(OR($A13="",$B13=0),"",B13*$B$48)</f>
        <v/>
      </c>
      <c r="R13" s="39" t="str">
        <f aca="false">IF(OR($A13="",$B13=0),"",O13-Q13)</f>
        <v/>
      </c>
      <c r="S13" s="1"/>
    </row>
    <row r="14" customFormat="false" ht="15" hidden="false" customHeight="false" outlineLevel="0" collapsed="false">
      <c r="A14" s="41" t="s">
        <v>100</v>
      </c>
      <c r="B14" s="41" t="n">
        <f aca="false">SUM(B6:B13)</f>
        <v>0</v>
      </c>
      <c r="C14" s="41" t="n">
        <f aca="false">SUM(C6:C13)</f>
        <v>2100</v>
      </c>
      <c r="D14" s="41" t="n">
        <f aca="false">SUM(D6:D13)</f>
        <v>0</v>
      </c>
      <c r="E14" s="41" t="n">
        <f aca="false">SUM(E6:E13)</f>
        <v>0</v>
      </c>
      <c r="F14" s="41" t="n">
        <f aca="false">SUM(F6:F13)</f>
        <v>0</v>
      </c>
      <c r="G14" s="41" t="n">
        <f aca="false">SUM(G6:G13)</f>
        <v>0</v>
      </c>
      <c r="H14" s="41" t="n">
        <f aca="false">SUM(H6:H13)</f>
        <v>0</v>
      </c>
      <c r="I14" s="41" t="n">
        <f aca="false">SUM(I6:I13)</f>
        <v>0</v>
      </c>
      <c r="J14" s="41" t="n">
        <f aca="false">SUM(J6:J13)</f>
        <v>0</v>
      </c>
      <c r="K14" s="41" t="n">
        <f aca="false">SUM(K6:K13)</f>
        <v>0</v>
      </c>
      <c r="L14" s="41" t="n">
        <f aca="false">SUM(L6:L13)</f>
        <v>0</v>
      </c>
      <c r="M14" s="41" t="n">
        <f aca="false">SUM(M6:M13)</f>
        <v>0</v>
      </c>
      <c r="N14" s="41" t="n">
        <f aca="false">SUM(N6:N13)</f>
        <v>0</v>
      </c>
      <c r="O14" s="41" t="n">
        <f aca="false">SUM(O6:O13)</f>
        <v>2100</v>
      </c>
      <c r="P14" s="41" t="n">
        <f aca="false">O14/MAX(1,$B$48)</f>
        <v>2100</v>
      </c>
      <c r="Q14" s="41" t="n">
        <f aca="false">SUM(Q6:Q13)</f>
        <v>0</v>
      </c>
      <c r="R14" s="41"/>
      <c r="S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customFormat="false" ht="15" hidden="false" customHeight="false" outlineLevel="0" collapsed="false">
      <c r="A16" s="42" t="s">
        <v>30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1"/>
    </row>
    <row r="17" customFormat="false" ht="15" hidden="false" customHeight="false" outlineLevel="0" collapsed="false">
      <c r="A17" s="10" t="str">
        <f aca="false">IF(Kategorien!A13="","",Kategorien!A13)</f>
        <v>Miete &amp; Nebenkosten</v>
      </c>
      <c r="B17" s="39" t="n">
        <f aca="false">IF($A17="",0,N(Kategorien!C13))</f>
        <v>0</v>
      </c>
      <c r="C17" s="39" t="n">
        <f aca="false">IF($A17="",0,SUMIFS(Buchungen!$D$5:$D$1004,Buchungen!$B$5:$B$1004,$A17,Buchungen!$A$5:$A$1004,"&gt;="&amp;DATE(Start!$C$6,C$3,1),Buchungen!$A$5:$A$1004,"&lt;"&amp;DATE(Start!$C$6,C$3+1,1)))</f>
        <v>0</v>
      </c>
      <c r="D17" s="39" t="n">
        <f aca="false">IF($A17="",0,SUMIFS(Buchungen!$D$5:$D$1004,Buchungen!$B$5:$B$1004,$A17,Buchungen!$A$5:$A$1004,"&gt;="&amp;DATE(Start!$C$6,D$3,1),Buchungen!$A$5:$A$1004,"&lt;"&amp;DATE(Start!$C$6,D$3+1,1)))</f>
        <v>0</v>
      </c>
      <c r="E17" s="39" t="n">
        <f aca="false">IF($A17="",0,SUMIFS(Buchungen!$D$5:$D$1004,Buchungen!$B$5:$B$1004,$A17,Buchungen!$A$5:$A$1004,"&gt;="&amp;DATE(Start!$C$6,E$3,1),Buchungen!$A$5:$A$1004,"&lt;"&amp;DATE(Start!$C$6,E$3+1,1)))</f>
        <v>0</v>
      </c>
      <c r="F17" s="39" t="n">
        <f aca="false">IF($A17="",0,SUMIFS(Buchungen!$D$5:$D$1004,Buchungen!$B$5:$B$1004,$A17,Buchungen!$A$5:$A$1004,"&gt;="&amp;DATE(Start!$C$6,F$3,1),Buchungen!$A$5:$A$1004,"&lt;"&amp;DATE(Start!$C$6,F$3+1,1)))</f>
        <v>0</v>
      </c>
      <c r="G17" s="39" t="n">
        <f aca="false">IF($A17="",0,SUMIFS(Buchungen!$D$5:$D$1004,Buchungen!$B$5:$B$1004,$A17,Buchungen!$A$5:$A$1004,"&gt;="&amp;DATE(Start!$C$6,G$3,1),Buchungen!$A$5:$A$1004,"&lt;"&amp;DATE(Start!$C$6,G$3+1,1)))</f>
        <v>0</v>
      </c>
      <c r="H17" s="39" t="n">
        <f aca="false">IF($A17="",0,SUMIFS(Buchungen!$D$5:$D$1004,Buchungen!$B$5:$B$1004,$A17,Buchungen!$A$5:$A$1004,"&gt;="&amp;DATE(Start!$C$6,H$3,1),Buchungen!$A$5:$A$1004,"&lt;"&amp;DATE(Start!$C$6,H$3+1,1)))</f>
        <v>0</v>
      </c>
      <c r="I17" s="39" t="n">
        <f aca="false">IF($A17="",0,SUMIFS(Buchungen!$D$5:$D$1004,Buchungen!$B$5:$B$1004,$A17,Buchungen!$A$5:$A$1004,"&gt;="&amp;DATE(Start!$C$6,I$3,1),Buchungen!$A$5:$A$1004,"&lt;"&amp;DATE(Start!$C$6,I$3+1,1)))</f>
        <v>0</v>
      </c>
      <c r="J17" s="39" t="n">
        <f aca="false">IF($A17="",0,SUMIFS(Buchungen!$D$5:$D$1004,Buchungen!$B$5:$B$1004,$A17,Buchungen!$A$5:$A$1004,"&gt;="&amp;DATE(Start!$C$6,J$3,1),Buchungen!$A$5:$A$1004,"&lt;"&amp;DATE(Start!$C$6,J$3+1,1)))</f>
        <v>0</v>
      </c>
      <c r="K17" s="39" t="n">
        <f aca="false">IF($A17="",0,SUMIFS(Buchungen!$D$5:$D$1004,Buchungen!$B$5:$B$1004,$A17,Buchungen!$A$5:$A$1004,"&gt;="&amp;DATE(Start!$C$6,K$3,1),Buchungen!$A$5:$A$1004,"&lt;"&amp;DATE(Start!$C$6,K$3+1,1)))</f>
        <v>0</v>
      </c>
      <c r="L17" s="39" t="n">
        <f aca="false">IF($A17="",0,SUMIFS(Buchungen!$D$5:$D$1004,Buchungen!$B$5:$B$1004,$A17,Buchungen!$A$5:$A$1004,"&gt;="&amp;DATE(Start!$C$6,L$3,1),Buchungen!$A$5:$A$1004,"&lt;"&amp;DATE(Start!$C$6,L$3+1,1)))</f>
        <v>0</v>
      </c>
      <c r="M17" s="39" t="n">
        <f aca="false">IF($A17="",0,SUMIFS(Buchungen!$D$5:$D$1004,Buchungen!$B$5:$B$1004,$A17,Buchungen!$A$5:$A$1004,"&gt;="&amp;DATE(Start!$C$6,M$3,1),Buchungen!$A$5:$A$1004,"&lt;"&amp;DATE(Start!$C$6,M$3+1,1)))</f>
        <v>0</v>
      </c>
      <c r="N17" s="39" t="n">
        <f aca="false">IF($A17="",0,SUMIFS(Buchungen!$D$5:$D$1004,Buchungen!$B$5:$B$1004,$A17,Buchungen!$A$5:$A$1004,"&gt;="&amp;DATE(Start!$C$6,N$3,1),Buchungen!$A$5:$A$1004,"&lt;"&amp;DATE(Start!$C$6,N$3+1,1)))</f>
        <v>0</v>
      </c>
      <c r="O17" s="40" t="n">
        <f aca="false">SUM(C17:N17)</f>
        <v>0</v>
      </c>
      <c r="P17" s="39" t="n">
        <f aca="false">IF($A17="","",O17/MAX(1,$B$48))</f>
        <v>0</v>
      </c>
      <c r="Q17" s="39" t="str">
        <f aca="false">IF(OR($A17="",$B17=0),"",B17*$B$48)</f>
        <v/>
      </c>
      <c r="R17" s="39" t="str">
        <f aca="false">IF(OR($A17="",$B17=0),"",Q17-O17)</f>
        <v/>
      </c>
      <c r="S17" s="1" t="n">
        <f aca="false">IF($A17="",-1,O17+(100-ROW())/1000000)</f>
        <v>8.3E-005</v>
      </c>
    </row>
    <row r="18" customFormat="false" ht="15" hidden="false" customHeight="false" outlineLevel="0" collapsed="false">
      <c r="A18" s="10" t="str">
        <f aca="false">IF(Kategorien!A14="","",Kategorien!A14)</f>
        <v>Strom &amp; Internet</v>
      </c>
      <c r="B18" s="39" t="n">
        <f aca="false">IF($A18="",0,N(Kategorien!C14))</f>
        <v>0</v>
      </c>
      <c r="C18" s="39" t="n">
        <f aca="false">IF($A18="",0,SUMIFS(Buchungen!$D$5:$D$1004,Buchungen!$B$5:$B$1004,$A18,Buchungen!$A$5:$A$1004,"&gt;="&amp;DATE(Start!$C$6,C$3,1),Buchungen!$A$5:$A$1004,"&lt;"&amp;DATE(Start!$C$6,C$3+1,1)))</f>
        <v>0</v>
      </c>
      <c r="D18" s="39" t="n">
        <f aca="false">IF($A18="",0,SUMIFS(Buchungen!$D$5:$D$1004,Buchungen!$B$5:$B$1004,$A18,Buchungen!$A$5:$A$1004,"&gt;="&amp;DATE(Start!$C$6,D$3,1),Buchungen!$A$5:$A$1004,"&lt;"&amp;DATE(Start!$C$6,D$3+1,1)))</f>
        <v>0</v>
      </c>
      <c r="E18" s="39" t="n">
        <f aca="false">IF($A18="",0,SUMIFS(Buchungen!$D$5:$D$1004,Buchungen!$B$5:$B$1004,$A18,Buchungen!$A$5:$A$1004,"&gt;="&amp;DATE(Start!$C$6,E$3,1),Buchungen!$A$5:$A$1004,"&lt;"&amp;DATE(Start!$C$6,E$3+1,1)))</f>
        <v>0</v>
      </c>
      <c r="F18" s="39" t="n">
        <f aca="false">IF($A18="",0,SUMIFS(Buchungen!$D$5:$D$1004,Buchungen!$B$5:$B$1004,$A18,Buchungen!$A$5:$A$1004,"&gt;="&amp;DATE(Start!$C$6,F$3,1),Buchungen!$A$5:$A$1004,"&lt;"&amp;DATE(Start!$C$6,F$3+1,1)))</f>
        <v>0</v>
      </c>
      <c r="G18" s="39" t="n">
        <f aca="false">IF($A18="",0,SUMIFS(Buchungen!$D$5:$D$1004,Buchungen!$B$5:$B$1004,$A18,Buchungen!$A$5:$A$1004,"&gt;="&amp;DATE(Start!$C$6,G$3,1),Buchungen!$A$5:$A$1004,"&lt;"&amp;DATE(Start!$C$6,G$3+1,1)))</f>
        <v>0</v>
      </c>
      <c r="H18" s="39" t="n">
        <f aca="false">IF($A18="",0,SUMIFS(Buchungen!$D$5:$D$1004,Buchungen!$B$5:$B$1004,$A18,Buchungen!$A$5:$A$1004,"&gt;="&amp;DATE(Start!$C$6,H$3,1),Buchungen!$A$5:$A$1004,"&lt;"&amp;DATE(Start!$C$6,H$3+1,1)))</f>
        <v>0</v>
      </c>
      <c r="I18" s="39" t="n">
        <f aca="false">IF($A18="",0,SUMIFS(Buchungen!$D$5:$D$1004,Buchungen!$B$5:$B$1004,$A18,Buchungen!$A$5:$A$1004,"&gt;="&amp;DATE(Start!$C$6,I$3,1),Buchungen!$A$5:$A$1004,"&lt;"&amp;DATE(Start!$C$6,I$3+1,1)))</f>
        <v>0</v>
      </c>
      <c r="J18" s="39" t="n">
        <f aca="false">IF($A18="",0,SUMIFS(Buchungen!$D$5:$D$1004,Buchungen!$B$5:$B$1004,$A18,Buchungen!$A$5:$A$1004,"&gt;="&amp;DATE(Start!$C$6,J$3,1),Buchungen!$A$5:$A$1004,"&lt;"&amp;DATE(Start!$C$6,J$3+1,1)))</f>
        <v>0</v>
      </c>
      <c r="K18" s="39" t="n">
        <f aca="false">IF($A18="",0,SUMIFS(Buchungen!$D$5:$D$1004,Buchungen!$B$5:$B$1004,$A18,Buchungen!$A$5:$A$1004,"&gt;="&amp;DATE(Start!$C$6,K$3,1),Buchungen!$A$5:$A$1004,"&lt;"&amp;DATE(Start!$C$6,K$3+1,1)))</f>
        <v>0</v>
      </c>
      <c r="L18" s="39" t="n">
        <f aca="false">IF($A18="",0,SUMIFS(Buchungen!$D$5:$D$1004,Buchungen!$B$5:$B$1004,$A18,Buchungen!$A$5:$A$1004,"&gt;="&amp;DATE(Start!$C$6,L$3,1),Buchungen!$A$5:$A$1004,"&lt;"&amp;DATE(Start!$C$6,L$3+1,1)))</f>
        <v>0</v>
      </c>
      <c r="M18" s="39" t="n">
        <f aca="false">IF($A18="",0,SUMIFS(Buchungen!$D$5:$D$1004,Buchungen!$B$5:$B$1004,$A18,Buchungen!$A$5:$A$1004,"&gt;="&amp;DATE(Start!$C$6,M$3,1),Buchungen!$A$5:$A$1004,"&lt;"&amp;DATE(Start!$C$6,M$3+1,1)))</f>
        <v>0</v>
      </c>
      <c r="N18" s="39" t="n">
        <f aca="false">IF($A18="",0,SUMIFS(Buchungen!$D$5:$D$1004,Buchungen!$B$5:$B$1004,$A18,Buchungen!$A$5:$A$1004,"&gt;="&amp;DATE(Start!$C$6,N$3,1),Buchungen!$A$5:$A$1004,"&lt;"&amp;DATE(Start!$C$6,N$3+1,1)))</f>
        <v>0</v>
      </c>
      <c r="O18" s="40" t="n">
        <f aca="false">SUM(C18:N18)</f>
        <v>0</v>
      </c>
      <c r="P18" s="39" t="n">
        <f aca="false">IF($A18="","",O18/MAX(1,$B$48))</f>
        <v>0</v>
      </c>
      <c r="Q18" s="39" t="str">
        <f aca="false">IF(OR($A18="",$B18=0),"",B18*$B$48)</f>
        <v/>
      </c>
      <c r="R18" s="39" t="str">
        <f aca="false">IF(OR($A18="",$B18=0),"",Q18-O18)</f>
        <v/>
      </c>
      <c r="S18" s="1" t="n">
        <f aca="false">IF($A18="",-1,O18+(100-ROW())/1000000)</f>
        <v>8.2E-005</v>
      </c>
    </row>
    <row r="19" customFormat="false" ht="15" hidden="false" customHeight="false" outlineLevel="0" collapsed="false">
      <c r="A19" s="10" t="str">
        <f aca="false">IF(Kategorien!A15="","",Kategorien!A15)</f>
        <v>Lebensmittel</v>
      </c>
      <c r="B19" s="39" t="n">
        <f aca="false">IF($A19="",0,N(Kategorien!C15))</f>
        <v>0</v>
      </c>
      <c r="C19" s="39" t="n">
        <f aca="false">IF($A19="",0,SUMIFS(Buchungen!$D$5:$D$1004,Buchungen!$B$5:$B$1004,$A19,Buchungen!$A$5:$A$1004,"&gt;="&amp;DATE(Start!$C$6,C$3,1),Buchungen!$A$5:$A$1004,"&lt;"&amp;DATE(Start!$C$6,C$3+1,1)))</f>
        <v>0</v>
      </c>
      <c r="D19" s="39" t="n">
        <f aca="false">IF($A19="",0,SUMIFS(Buchungen!$D$5:$D$1004,Buchungen!$B$5:$B$1004,$A19,Buchungen!$A$5:$A$1004,"&gt;="&amp;DATE(Start!$C$6,D$3,1),Buchungen!$A$5:$A$1004,"&lt;"&amp;DATE(Start!$C$6,D$3+1,1)))</f>
        <v>0</v>
      </c>
      <c r="E19" s="39" t="n">
        <f aca="false">IF($A19="",0,SUMIFS(Buchungen!$D$5:$D$1004,Buchungen!$B$5:$B$1004,$A19,Buchungen!$A$5:$A$1004,"&gt;="&amp;DATE(Start!$C$6,E$3,1),Buchungen!$A$5:$A$1004,"&lt;"&amp;DATE(Start!$C$6,E$3+1,1)))</f>
        <v>0</v>
      </c>
      <c r="F19" s="39" t="n">
        <f aca="false">IF($A19="",0,SUMIFS(Buchungen!$D$5:$D$1004,Buchungen!$B$5:$B$1004,$A19,Buchungen!$A$5:$A$1004,"&gt;="&amp;DATE(Start!$C$6,F$3,1),Buchungen!$A$5:$A$1004,"&lt;"&amp;DATE(Start!$C$6,F$3+1,1)))</f>
        <v>0</v>
      </c>
      <c r="G19" s="39" t="n">
        <f aca="false">IF($A19="",0,SUMIFS(Buchungen!$D$5:$D$1004,Buchungen!$B$5:$B$1004,$A19,Buchungen!$A$5:$A$1004,"&gt;="&amp;DATE(Start!$C$6,G$3,1),Buchungen!$A$5:$A$1004,"&lt;"&amp;DATE(Start!$C$6,G$3+1,1)))</f>
        <v>0</v>
      </c>
      <c r="H19" s="39" t="n">
        <f aca="false">IF($A19="",0,SUMIFS(Buchungen!$D$5:$D$1004,Buchungen!$B$5:$B$1004,$A19,Buchungen!$A$5:$A$1004,"&gt;="&amp;DATE(Start!$C$6,H$3,1),Buchungen!$A$5:$A$1004,"&lt;"&amp;DATE(Start!$C$6,H$3+1,1)))</f>
        <v>0</v>
      </c>
      <c r="I19" s="39" t="n">
        <f aca="false">IF($A19="",0,SUMIFS(Buchungen!$D$5:$D$1004,Buchungen!$B$5:$B$1004,$A19,Buchungen!$A$5:$A$1004,"&gt;="&amp;DATE(Start!$C$6,I$3,1),Buchungen!$A$5:$A$1004,"&lt;"&amp;DATE(Start!$C$6,I$3+1,1)))</f>
        <v>0</v>
      </c>
      <c r="J19" s="39" t="n">
        <f aca="false">IF($A19="",0,SUMIFS(Buchungen!$D$5:$D$1004,Buchungen!$B$5:$B$1004,$A19,Buchungen!$A$5:$A$1004,"&gt;="&amp;DATE(Start!$C$6,J$3,1),Buchungen!$A$5:$A$1004,"&lt;"&amp;DATE(Start!$C$6,J$3+1,1)))</f>
        <v>0</v>
      </c>
      <c r="K19" s="39" t="n">
        <f aca="false">IF($A19="",0,SUMIFS(Buchungen!$D$5:$D$1004,Buchungen!$B$5:$B$1004,$A19,Buchungen!$A$5:$A$1004,"&gt;="&amp;DATE(Start!$C$6,K$3,1),Buchungen!$A$5:$A$1004,"&lt;"&amp;DATE(Start!$C$6,K$3+1,1)))</f>
        <v>0</v>
      </c>
      <c r="L19" s="39" t="n">
        <f aca="false">IF($A19="",0,SUMIFS(Buchungen!$D$5:$D$1004,Buchungen!$B$5:$B$1004,$A19,Buchungen!$A$5:$A$1004,"&gt;="&amp;DATE(Start!$C$6,L$3,1),Buchungen!$A$5:$A$1004,"&lt;"&amp;DATE(Start!$C$6,L$3+1,1)))</f>
        <v>0</v>
      </c>
      <c r="M19" s="39" t="n">
        <f aca="false">IF($A19="",0,SUMIFS(Buchungen!$D$5:$D$1004,Buchungen!$B$5:$B$1004,$A19,Buchungen!$A$5:$A$1004,"&gt;="&amp;DATE(Start!$C$6,M$3,1),Buchungen!$A$5:$A$1004,"&lt;"&amp;DATE(Start!$C$6,M$3+1,1)))</f>
        <v>0</v>
      </c>
      <c r="N19" s="39" t="n">
        <f aca="false">IF($A19="",0,SUMIFS(Buchungen!$D$5:$D$1004,Buchungen!$B$5:$B$1004,$A19,Buchungen!$A$5:$A$1004,"&gt;="&amp;DATE(Start!$C$6,N$3,1),Buchungen!$A$5:$A$1004,"&lt;"&amp;DATE(Start!$C$6,N$3+1,1)))</f>
        <v>0</v>
      </c>
      <c r="O19" s="40" t="n">
        <f aca="false">SUM(C19:N19)</f>
        <v>0</v>
      </c>
      <c r="P19" s="39" t="n">
        <f aca="false">IF($A19="","",O19/MAX(1,$B$48))</f>
        <v>0</v>
      </c>
      <c r="Q19" s="39" t="str">
        <f aca="false">IF(OR($A19="",$B19=0),"",B19*$B$48)</f>
        <v/>
      </c>
      <c r="R19" s="39" t="str">
        <f aca="false">IF(OR($A19="",$B19=0),"",Q19-O19)</f>
        <v/>
      </c>
      <c r="S19" s="1" t="n">
        <f aca="false">IF($A19="",-1,O19+(100-ROW())/1000000)</f>
        <v>8.1E-005</v>
      </c>
    </row>
    <row r="20" customFormat="false" ht="15" hidden="false" customHeight="false" outlineLevel="0" collapsed="false">
      <c r="A20" s="10" t="str">
        <f aca="false">IF(Kategorien!A16="","",Kategorien!A16)</f>
        <v>Handy &amp; Abos</v>
      </c>
      <c r="B20" s="39" t="n">
        <f aca="false">IF($A20="",0,N(Kategorien!C16))</f>
        <v>0</v>
      </c>
      <c r="C20" s="39" t="n">
        <f aca="false">IF($A20="",0,SUMIFS(Buchungen!$D$5:$D$1004,Buchungen!$B$5:$B$1004,$A20,Buchungen!$A$5:$A$1004,"&gt;="&amp;DATE(Start!$C$6,C$3,1),Buchungen!$A$5:$A$1004,"&lt;"&amp;DATE(Start!$C$6,C$3+1,1)))</f>
        <v>0</v>
      </c>
      <c r="D20" s="39" t="n">
        <f aca="false">IF($A20="",0,SUMIFS(Buchungen!$D$5:$D$1004,Buchungen!$B$5:$B$1004,$A20,Buchungen!$A$5:$A$1004,"&gt;="&amp;DATE(Start!$C$6,D$3,1),Buchungen!$A$5:$A$1004,"&lt;"&amp;DATE(Start!$C$6,D$3+1,1)))</f>
        <v>0</v>
      </c>
      <c r="E20" s="39" t="n">
        <f aca="false">IF($A20="",0,SUMIFS(Buchungen!$D$5:$D$1004,Buchungen!$B$5:$B$1004,$A20,Buchungen!$A$5:$A$1004,"&gt;="&amp;DATE(Start!$C$6,E$3,1),Buchungen!$A$5:$A$1004,"&lt;"&amp;DATE(Start!$C$6,E$3+1,1)))</f>
        <v>0</v>
      </c>
      <c r="F20" s="39" t="n">
        <f aca="false">IF($A20="",0,SUMIFS(Buchungen!$D$5:$D$1004,Buchungen!$B$5:$B$1004,$A20,Buchungen!$A$5:$A$1004,"&gt;="&amp;DATE(Start!$C$6,F$3,1),Buchungen!$A$5:$A$1004,"&lt;"&amp;DATE(Start!$C$6,F$3+1,1)))</f>
        <v>0</v>
      </c>
      <c r="G20" s="39" t="n">
        <f aca="false">IF($A20="",0,SUMIFS(Buchungen!$D$5:$D$1004,Buchungen!$B$5:$B$1004,$A20,Buchungen!$A$5:$A$1004,"&gt;="&amp;DATE(Start!$C$6,G$3,1),Buchungen!$A$5:$A$1004,"&lt;"&amp;DATE(Start!$C$6,G$3+1,1)))</f>
        <v>0</v>
      </c>
      <c r="H20" s="39" t="n">
        <f aca="false">IF($A20="",0,SUMIFS(Buchungen!$D$5:$D$1004,Buchungen!$B$5:$B$1004,$A20,Buchungen!$A$5:$A$1004,"&gt;="&amp;DATE(Start!$C$6,H$3,1),Buchungen!$A$5:$A$1004,"&lt;"&amp;DATE(Start!$C$6,H$3+1,1)))</f>
        <v>0</v>
      </c>
      <c r="I20" s="39" t="n">
        <f aca="false">IF($A20="",0,SUMIFS(Buchungen!$D$5:$D$1004,Buchungen!$B$5:$B$1004,$A20,Buchungen!$A$5:$A$1004,"&gt;="&amp;DATE(Start!$C$6,I$3,1),Buchungen!$A$5:$A$1004,"&lt;"&amp;DATE(Start!$C$6,I$3+1,1)))</f>
        <v>0</v>
      </c>
      <c r="J20" s="39" t="n">
        <f aca="false">IF($A20="",0,SUMIFS(Buchungen!$D$5:$D$1004,Buchungen!$B$5:$B$1004,$A20,Buchungen!$A$5:$A$1004,"&gt;="&amp;DATE(Start!$C$6,J$3,1),Buchungen!$A$5:$A$1004,"&lt;"&amp;DATE(Start!$C$6,J$3+1,1)))</f>
        <v>0</v>
      </c>
      <c r="K20" s="39" t="n">
        <f aca="false">IF($A20="",0,SUMIFS(Buchungen!$D$5:$D$1004,Buchungen!$B$5:$B$1004,$A20,Buchungen!$A$5:$A$1004,"&gt;="&amp;DATE(Start!$C$6,K$3,1),Buchungen!$A$5:$A$1004,"&lt;"&amp;DATE(Start!$C$6,K$3+1,1)))</f>
        <v>0</v>
      </c>
      <c r="L20" s="39" t="n">
        <f aca="false">IF($A20="",0,SUMIFS(Buchungen!$D$5:$D$1004,Buchungen!$B$5:$B$1004,$A20,Buchungen!$A$5:$A$1004,"&gt;="&amp;DATE(Start!$C$6,L$3,1),Buchungen!$A$5:$A$1004,"&lt;"&amp;DATE(Start!$C$6,L$3+1,1)))</f>
        <v>0</v>
      </c>
      <c r="M20" s="39" t="n">
        <f aca="false">IF($A20="",0,SUMIFS(Buchungen!$D$5:$D$1004,Buchungen!$B$5:$B$1004,$A20,Buchungen!$A$5:$A$1004,"&gt;="&amp;DATE(Start!$C$6,M$3,1),Buchungen!$A$5:$A$1004,"&lt;"&amp;DATE(Start!$C$6,M$3+1,1)))</f>
        <v>0</v>
      </c>
      <c r="N20" s="39" t="n">
        <f aca="false">IF($A20="",0,SUMIFS(Buchungen!$D$5:$D$1004,Buchungen!$B$5:$B$1004,$A20,Buchungen!$A$5:$A$1004,"&gt;="&amp;DATE(Start!$C$6,N$3,1),Buchungen!$A$5:$A$1004,"&lt;"&amp;DATE(Start!$C$6,N$3+1,1)))</f>
        <v>0</v>
      </c>
      <c r="O20" s="40" t="n">
        <f aca="false">SUM(C20:N20)</f>
        <v>0</v>
      </c>
      <c r="P20" s="39" t="n">
        <f aca="false">IF($A20="","",O20/MAX(1,$B$48))</f>
        <v>0</v>
      </c>
      <c r="Q20" s="39" t="str">
        <f aca="false">IF(OR($A20="",$B20=0),"",B20*$B$48)</f>
        <v/>
      </c>
      <c r="R20" s="39" t="str">
        <f aca="false">IF(OR($A20="",$B20=0),"",Q20-O20)</f>
        <v/>
      </c>
      <c r="S20" s="1" t="n">
        <f aca="false">IF($A20="",-1,O20+(100-ROW())/1000000)</f>
        <v>8E-005</v>
      </c>
    </row>
    <row r="21" customFormat="false" ht="15" hidden="false" customHeight="false" outlineLevel="0" collapsed="false">
      <c r="A21" s="10" t="str">
        <f aca="false">IF(Kategorien!A17="","",Kategorien!A17)</f>
        <v>Mobilität (Auto/ÖPNV)</v>
      </c>
      <c r="B21" s="39" t="n">
        <f aca="false">IF($A21="",0,N(Kategorien!C17))</f>
        <v>0</v>
      </c>
      <c r="C21" s="39" t="n">
        <f aca="false">IF($A21="",0,SUMIFS(Buchungen!$D$5:$D$1004,Buchungen!$B$5:$B$1004,$A21,Buchungen!$A$5:$A$1004,"&gt;="&amp;DATE(Start!$C$6,C$3,1),Buchungen!$A$5:$A$1004,"&lt;"&amp;DATE(Start!$C$6,C$3+1,1)))</f>
        <v>0</v>
      </c>
      <c r="D21" s="39" t="n">
        <f aca="false">IF($A21="",0,SUMIFS(Buchungen!$D$5:$D$1004,Buchungen!$B$5:$B$1004,$A21,Buchungen!$A$5:$A$1004,"&gt;="&amp;DATE(Start!$C$6,D$3,1),Buchungen!$A$5:$A$1004,"&lt;"&amp;DATE(Start!$C$6,D$3+1,1)))</f>
        <v>0</v>
      </c>
      <c r="E21" s="39" t="n">
        <f aca="false">IF($A21="",0,SUMIFS(Buchungen!$D$5:$D$1004,Buchungen!$B$5:$B$1004,$A21,Buchungen!$A$5:$A$1004,"&gt;="&amp;DATE(Start!$C$6,E$3,1),Buchungen!$A$5:$A$1004,"&lt;"&amp;DATE(Start!$C$6,E$3+1,1)))</f>
        <v>0</v>
      </c>
      <c r="F21" s="39" t="n">
        <f aca="false">IF($A21="",0,SUMIFS(Buchungen!$D$5:$D$1004,Buchungen!$B$5:$B$1004,$A21,Buchungen!$A$5:$A$1004,"&gt;="&amp;DATE(Start!$C$6,F$3,1),Buchungen!$A$5:$A$1004,"&lt;"&amp;DATE(Start!$C$6,F$3+1,1)))</f>
        <v>0</v>
      </c>
      <c r="G21" s="39" t="n">
        <f aca="false">IF($A21="",0,SUMIFS(Buchungen!$D$5:$D$1004,Buchungen!$B$5:$B$1004,$A21,Buchungen!$A$5:$A$1004,"&gt;="&amp;DATE(Start!$C$6,G$3,1),Buchungen!$A$5:$A$1004,"&lt;"&amp;DATE(Start!$C$6,G$3+1,1)))</f>
        <v>0</v>
      </c>
      <c r="H21" s="39" t="n">
        <f aca="false">IF($A21="",0,SUMIFS(Buchungen!$D$5:$D$1004,Buchungen!$B$5:$B$1004,$A21,Buchungen!$A$5:$A$1004,"&gt;="&amp;DATE(Start!$C$6,H$3,1),Buchungen!$A$5:$A$1004,"&lt;"&amp;DATE(Start!$C$6,H$3+1,1)))</f>
        <v>0</v>
      </c>
      <c r="I21" s="39" t="n">
        <f aca="false">IF($A21="",0,SUMIFS(Buchungen!$D$5:$D$1004,Buchungen!$B$5:$B$1004,$A21,Buchungen!$A$5:$A$1004,"&gt;="&amp;DATE(Start!$C$6,I$3,1),Buchungen!$A$5:$A$1004,"&lt;"&amp;DATE(Start!$C$6,I$3+1,1)))</f>
        <v>0</v>
      </c>
      <c r="J21" s="39" t="n">
        <f aca="false">IF($A21="",0,SUMIFS(Buchungen!$D$5:$D$1004,Buchungen!$B$5:$B$1004,$A21,Buchungen!$A$5:$A$1004,"&gt;="&amp;DATE(Start!$C$6,J$3,1),Buchungen!$A$5:$A$1004,"&lt;"&amp;DATE(Start!$C$6,J$3+1,1)))</f>
        <v>0</v>
      </c>
      <c r="K21" s="39" t="n">
        <f aca="false">IF($A21="",0,SUMIFS(Buchungen!$D$5:$D$1004,Buchungen!$B$5:$B$1004,$A21,Buchungen!$A$5:$A$1004,"&gt;="&amp;DATE(Start!$C$6,K$3,1),Buchungen!$A$5:$A$1004,"&lt;"&amp;DATE(Start!$C$6,K$3+1,1)))</f>
        <v>0</v>
      </c>
      <c r="L21" s="39" t="n">
        <f aca="false">IF($A21="",0,SUMIFS(Buchungen!$D$5:$D$1004,Buchungen!$B$5:$B$1004,$A21,Buchungen!$A$5:$A$1004,"&gt;="&amp;DATE(Start!$C$6,L$3,1),Buchungen!$A$5:$A$1004,"&lt;"&amp;DATE(Start!$C$6,L$3+1,1)))</f>
        <v>0</v>
      </c>
      <c r="M21" s="39" t="n">
        <f aca="false">IF($A21="",0,SUMIFS(Buchungen!$D$5:$D$1004,Buchungen!$B$5:$B$1004,$A21,Buchungen!$A$5:$A$1004,"&gt;="&amp;DATE(Start!$C$6,M$3,1),Buchungen!$A$5:$A$1004,"&lt;"&amp;DATE(Start!$C$6,M$3+1,1)))</f>
        <v>0</v>
      </c>
      <c r="N21" s="39" t="n">
        <f aca="false">IF($A21="",0,SUMIFS(Buchungen!$D$5:$D$1004,Buchungen!$B$5:$B$1004,$A21,Buchungen!$A$5:$A$1004,"&gt;="&amp;DATE(Start!$C$6,N$3,1),Buchungen!$A$5:$A$1004,"&lt;"&amp;DATE(Start!$C$6,N$3+1,1)))</f>
        <v>0</v>
      </c>
      <c r="O21" s="40" t="n">
        <f aca="false">SUM(C21:N21)</f>
        <v>0</v>
      </c>
      <c r="P21" s="39" t="n">
        <f aca="false">IF($A21="","",O21/MAX(1,$B$48))</f>
        <v>0</v>
      </c>
      <c r="Q21" s="39" t="str">
        <f aca="false">IF(OR($A21="",$B21=0),"",B21*$B$48)</f>
        <v/>
      </c>
      <c r="R21" s="39" t="str">
        <f aca="false">IF(OR($A21="",$B21=0),"",Q21-O21)</f>
        <v/>
      </c>
      <c r="S21" s="1" t="n">
        <f aca="false">IF($A21="",-1,O21+(100-ROW())/1000000)</f>
        <v>7.9E-005</v>
      </c>
    </row>
    <row r="22" customFormat="false" ht="15" hidden="false" customHeight="false" outlineLevel="0" collapsed="false">
      <c r="A22" s="10" t="str">
        <f aca="false">IF(Kategorien!A18="","",Kategorien!A18)</f>
        <v>Versicherungen</v>
      </c>
      <c r="B22" s="39" t="n">
        <f aca="false">IF($A22="",0,N(Kategorien!C18))</f>
        <v>0</v>
      </c>
      <c r="C22" s="39" t="n">
        <f aca="false">IF($A22="",0,SUMIFS(Buchungen!$D$5:$D$1004,Buchungen!$B$5:$B$1004,$A22,Buchungen!$A$5:$A$1004,"&gt;="&amp;DATE(Start!$C$6,C$3,1),Buchungen!$A$5:$A$1004,"&lt;"&amp;DATE(Start!$C$6,C$3+1,1)))</f>
        <v>0</v>
      </c>
      <c r="D22" s="39" t="n">
        <f aca="false">IF($A22="",0,SUMIFS(Buchungen!$D$5:$D$1004,Buchungen!$B$5:$B$1004,$A22,Buchungen!$A$5:$A$1004,"&gt;="&amp;DATE(Start!$C$6,D$3,1),Buchungen!$A$5:$A$1004,"&lt;"&amp;DATE(Start!$C$6,D$3+1,1)))</f>
        <v>0</v>
      </c>
      <c r="E22" s="39" t="n">
        <f aca="false">IF($A22="",0,SUMIFS(Buchungen!$D$5:$D$1004,Buchungen!$B$5:$B$1004,$A22,Buchungen!$A$5:$A$1004,"&gt;="&amp;DATE(Start!$C$6,E$3,1),Buchungen!$A$5:$A$1004,"&lt;"&amp;DATE(Start!$C$6,E$3+1,1)))</f>
        <v>0</v>
      </c>
      <c r="F22" s="39" t="n">
        <f aca="false">IF($A22="",0,SUMIFS(Buchungen!$D$5:$D$1004,Buchungen!$B$5:$B$1004,$A22,Buchungen!$A$5:$A$1004,"&gt;="&amp;DATE(Start!$C$6,F$3,1),Buchungen!$A$5:$A$1004,"&lt;"&amp;DATE(Start!$C$6,F$3+1,1)))</f>
        <v>0</v>
      </c>
      <c r="G22" s="39" t="n">
        <f aca="false">IF($A22="",0,SUMIFS(Buchungen!$D$5:$D$1004,Buchungen!$B$5:$B$1004,$A22,Buchungen!$A$5:$A$1004,"&gt;="&amp;DATE(Start!$C$6,G$3,1),Buchungen!$A$5:$A$1004,"&lt;"&amp;DATE(Start!$C$6,G$3+1,1)))</f>
        <v>0</v>
      </c>
      <c r="H22" s="39" t="n">
        <f aca="false">IF($A22="",0,SUMIFS(Buchungen!$D$5:$D$1004,Buchungen!$B$5:$B$1004,$A22,Buchungen!$A$5:$A$1004,"&gt;="&amp;DATE(Start!$C$6,H$3,1),Buchungen!$A$5:$A$1004,"&lt;"&amp;DATE(Start!$C$6,H$3+1,1)))</f>
        <v>0</v>
      </c>
      <c r="I22" s="39" t="n">
        <f aca="false">IF($A22="",0,SUMIFS(Buchungen!$D$5:$D$1004,Buchungen!$B$5:$B$1004,$A22,Buchungen!$A$5:$A$1004,"&gt;="&amp;DATE(Start!$C$6,I$3,1),Buchungen!$A$5:$A$1004,"&lt;"&amp;DATE(Start!$C$6,I$3+1,1)))</f>
        <v>0</v>
      </c>
      <c r="J22" s="39" t="n">
        <f aca="false">IF($A22="",0,SUMIFS(Buchungen!$D$5:$D$1004,Buchungen!$B$5:$B$1004,$A22,Buchungen!$A$5:$A$1004,"&gt;="&amp;DATE(Start!$C$6,J$3,1),Buchungen!$A$5:$A$1004,"&lt;"&amp;DATE(Start!$C$6,J$3+1,1)))</f>
        <v>0</v>
      </c>
      <c r="K22" s="39" t="n">
        <f aca="false">IF($A22="",0,SUMIFS(Buchungen!$D$5:$D$1004,Buchungen!$B$5:$B$1004,$A22,Buchungen!$A$5:$A$1004,"&gt;="&amp;DATE(Start!$C$6,K$3,1),Buchungen!$A$5:$A$1004,"&lt;"&amp;DATE(Start!$C$6,K$3+1,1)))</f>
        <v>0</v>
      </c>
      <c r="L22" s="39" t="n">
        <f aca="false">IF($A22="",0,SUMIFS(Buchungen!$D$5:$D$1004,Buchungen!$B$5:$B$1004,$A22,Buchungen!$A$5:$A$1004,"&gt;="&amp;DATE(Start!$C$6,L$3,1),Buchungen!$A$5:$A$1004,"&lt;"&amp;DATE(Start!$C$6,L$3+1,1)))</f>
        <v>0</v>
      </c>
      <c r="M22" s="39" t="n">
        <f aca="false">IF($A22="",0,SUMIFS(Buchungen!$D$5:$D$1004,Buchungen!$B$5:$B$1004,$A22,Buchungen!$A$5:$A$1004,"&gt;="&amp;DATE(Start!$C$6,M$3,1),Buchungen!$A$5:$A$1004,"&lt;"&amp;DATE(Start!$C$6,M$3+1,1)))</f>
        <v>0</v>
      </c>
      <c r="N22" s="39" t="n">
        <f aca="false">IF($A22="",0,SUMIFS(Buchungen!$D$5:$D$1004,Buchungen!$B$5:$B$1004,$A22,Buchungen!$A$5:$A$1004,"&gt;="&amp;DATE(Start!$C$6,N$3,1),Buchungen!$A$5:$A$1004,"&lt;"&amp;DATE(Start!$C$6,N$3+1,1)))</f>
        <v>0</v>
      </c>
      <c r="O22" s="40" t="n">
        <f aca="false">SUM(C22:N22)</f>
        <v>0</v>
      </c>
      <c r="P22" s="39" t="n">
        <f aca="false">IF($A22="","",O22/MAX(1,$B$48))</f>
        <v>0</v>
      </c>
      <c r="Q22" s="39" t="str">
        <f aca="false">IF(OR($A22="",$B22=0),"",B22*$B$48)</f>
        <v/>
      </c>
      <c r="R22" s="39" t="str">
        <f aca="false">IF(OR($A22="",$B22=0),"",Q22-O22)</f>
        <v/>
      </c>
      <c r="S22" s="1" t="n">
        <f aca="false">IF($A22="",-1,O22+(100-ROW())/1000000)</f>
        <v>7.8E-005</v>
      </c>
    </row>
    <row r="23" customFormat="false" ht="15" hidden="false" customHeight="false" outlineLevel="0" collapsed="false">
      <c r="A23" s="10" t="str">
        <f aca="false">IF(Kategorien!A19="","",Kategorien!A19)</f>
        <v>Freizeit &amp; Ausgehen</v>
      </c>
      <c r="B23" s="39" t="n">
        <f aca="false">IF($A23="",0,N(Kategorien!C19))</f>
        <v>0</v>
      </c>
      <c r="C23" s="39" t="n">
        <f aca="false">IF($A23="",0,SUMIFS(Buchungen!$D$5:$D$1004,Buchungen!$B$5:$B$1004,$A23,Buchungen!$A$5:$A$1004,"&gt;="&amp;DATE(Start!$C$6,C$3,1),Buchungen!$A$5:$A$1004,"&lt;"&amp;DATE(Start!$C$6,C$3+1,1)))</f>
        <v>0</v>
      </c>
      <c r="D23" s="39" t="n">
        <f aca="false">IF($A23="",0,SUMIFS(Buchungen!$D$5:$D$1004,Buchungen!$B$5:$B$1004,$A23,Buchungen!$A$5:$A$1004,"&gt;="&amp;DATE(Start!$C$6,D$3,1),Buchungen!$A$5:$A$1004,"&lt;"&amp;DATE(Start!$C$6,D$3+1,1)))</f>
        <v>0</v>
      </c>
      <c r="E23" s="39" t="n">
        <f aca="false">IF($A23="",0,SUMIFS(Buchungen!$D$5:$D$1004,Buchungen!$B$5:$B$1004,$A23,Buchungen!$A$5:$A$1004,"&gt;="&amp;DATE(Start!$C$6,E$3,1),Buchungen!$A$5:$A$1004,"&lt;"&amp;DATE(Start!$C$6,E$3+1,1)))</f>
        <v>0</v>
      </c>
      <c r="F23" s="39" t="n">
        <f aca="false">IF($A23="",0,SUMIFS(Buchungen!$D$5:$D$1004,Buchungen!$B$5:$B$1004,$A23,Buchungen!$A$5:$A$1004,"&gt;="&amp;DATE(Start!$C$6,F$3,1),Buchungen!$A$5:$A$1004,"&lt;"&amp;DATE(Start!$C$6,F$3+1,1)))</f>
        <v>0</v>
      </c>
      <c r="G23" s="39" t="n">
        <f aca="false">IF($A23="",0,SUMIFS(Buchungen!$D$5:$D$1004,Buchungen!$B$5:$B$1004,$A23,Buchungen!$A$5:$A$1004,"&gt;="&amp;DATE(Start!$C$6,G$3,1),Buchungen!$A$5:$A$1004,"&lt;"&amp;DATE(Start!$C$6,G$3+1,1)))</f>
        <v>0</v>
      </c>
      <c r="H23" s="39" t="n">
        <f aca="false">IF($A23="",0,SUMIFS(Buchungen!$D$5:$D$1004,Buchungen!$B$5:$B$1004,$A23,Buchungen!$A$5:$A$1004,"&gt;="&amp;DATE(Start!$C$6,H$3,1),Buchungen!$A$5:$A$1004,"&lt;"&amp;DATE(Start!$C$6,H$3+1,1)))</f>
        <v>0</v>
      </c>
      <c r="I23" s="39" t="n">
        <f aca="false">IF($A23="",0,SUMIFS(Buchungen!$D$5:$D$1004,Buchungen!$B$5:$B$1004,$A23,Buchungen!$A$5:$A$1004,"&gt;="&amp;DATE(Start!$C$6,I$3,1),Buchungen!$A$5:$A$1004,"&lt;"&amp;DATE(Start!$C$6,I$3+1,1)))</f>
        <v>0</v>
      </c>
      <c r="J23" s="39" t="n">
        <f aca="false">IF($A23="",0,SUMIFS(Buchungen!$D$5:$D$1004,Buchungen!$B$5:$B$1004,$A23,Buchungen!$A$5:$A$1004,"&gt;="&amp;DATE(Start!$C$6,J$3,1),Buchungen!$A$5:$A$1004,"&lt;"&amp;DATE(Start!$C$6,J$3+1,1)))</f>
        <v>0</v>
      </c>
      <c r="K23" s="39" t="n">
        <f aca="false">IF($A23="",0,SUMIFS(Buchungen!$D$5:$D$1004,Buchungen!$B$5:$B$1004,$A23,Buchungen!$A$5:$A$1004,"&gt;="&amp;DATE(Start!$C$6,K$3,1),Buchungen!$A$5:$A$1004,"&lt;"&amp;DATE(Start!$C$6,K$3+1,1)))</f>
        <v>0</v>
      </c>
      <c r="L23" s="39" t="n">
        <f aca="false">IF($A23="",0,SUMIFS(Buchungen!$D$5:$D$1004,Buchungen!$B$5:$B$1004,$A23,Buchungen!$A$5:$A$1004,"&gt;="&amp;DATE(Start!$C$6,L$3,1),Buchungen!$A$5:$A$1004,"&lt;"&amp;DATE(Start!$C$6,L$3+1,1)))</f>
        <v>0</v>
      </c>
      <c r="M23" s="39" t="n">
        <f aca="false">IF($A23="",0,SUMIFS(Buchungen!$D$5:$D$1004,Buchungen!$B$5:$B$1004,$A23,Buchungen!$A$5:$A$1004,"&gt;="&amp;DATE(Start!$C$6,M$3,1),Buchungen!$A$5:$A$1004,"&lt;"&amp;DATE(Start!$C$6,M$3+1,1)))</f>
        <v>0</v>
      </c>
      <c r="N23" s="39" t="n">
        <f aca="false">IF($A23="",0,SUMIFS(Buchungen!$D$5:$D$1004,Buchungen!$B$5:$B$1004,$A23,Buchungen!$A$5:$A$1004,"&gt;="&amp;DATE(Start!$C$6,N$3,1),Buchungen!$A$5:$A$1004,"&lt;"&amp;DATE(Start!$C$6,N$3+1,1)))</f>
        <v>0</v>
      </c>
      <c r="O23" s="40" t="n">
        <f aca="false">SUM(C23:N23)</f>
        <v>0</v>
      </c>
      <c r="P23" s="39" t="n">
        <f aca="false">IF($A23="","",O23/MAX(1,$B$48))</f>
        <v>0</v>
      </c>
      <c r="Q23" s="39" t="str">
        <f aca="false">IF(OR($A23="",$B23=0),"",B23*$B$48)</f>
        <v/>
      </c>
      <c r="R23" s="39" t="str">
        <f aca="false">IF(OR($A23="",$B23=0),"",Q23-O23)</f>
        <v/>
      </c>
      <c r="S23" s="1" t="n">
        <f aca="false">IF($A23="",-1,O23+(100-ROW())/1000000)</f>
        <v>7.7E-005</v>
      </c>
    </row>
    <row r="24" customFormat="false" ht="15" hidden="false" customHeight="false" outlineLevel="0" collapsed="false">
      <c r="A24" s="10" t="str">
        <f aca="false">IF(Kategorien!A20="","",Kategorien!A20)</f>
        <v>Kleidung</v>
      </c>
      <c r="B24" s="39" t="n">
        <f aca="false">IF($A24="",0,N(Kategorien!C20))</f>
        <v>0</v>
      </c>
      <c r="C24" s="39" t="n">
        <f aca="false">IF($A24="",0,SUMIFS(Buchungen!$D$5:$D$1004,Buchungen!$B$5:$B$1004,$A24,Buchungen!$A$5:$A$1004,"&gt;="&amp;DATE(Start!$C$6,C$3,1),Buchungen!$A$5:$A$1004,"&lt;"&amp;DATE(Start!$C$6,C$3+1,1)))</f>
        <v>0</v>
      </c>
      <c r="D24" s="39" t="n">
        <f aca="false">IF($A24="",0,SUMIFS(Buchungen!$D$5:$D$1004,Buchungen!$B$5:$B$1004,$A24,Buchungen!$A$5:$A$1004,"&gt;="&amp;DATE(Start!$C$6,D$3,1),Buchungen!$A$5:$A$1004,"&lt;"&amp;DATE(Start!$C$6,D$3+1,1)))</f>
        <v>0</v>
      </c>
      <c r="E24" s="39" t="n">
        <f aca="false">IF($A24="",0,SUMIFS(Buchungen!$D$5:$D$1004,Buchungen!$B$5:$B$1004,$A24,Buchungen!$A$5:$A$1004,"&gt;="&amp;DATE(Start!$C$6,E$3,1),Buchungen!$A$5:$A$1004,"&lt;"&amp;DATE(Start!$C$6,E$3+1,1)))</f>
        <v>0</v>
      </c>
      <c r="F24" s="39" t="n">
        <f aca="false">IF($A24="",0,SUMIFS(Buchungen!$D$5:$D$1004,Buchungen!$B$5:$B$1004,$A24,Buchungen!$A$5:$A$1004,"&gt;="&amp;DATE(Start!$C$6,F$3,1),Buchungen!$A$5:$A$1004,"&lt;"&amp;DATE(Start!$C$6,F$3+1,1)))</f>
        <v>0</v>
      </c>
      <c r="G24" s="39" t="n">
        <f aca="false">IF($A24="",0,SUMIFS(Buchungen!$D$5:$D$1004,Buchungen!$B$5:$B$1004,$A24,Buchungen!$A$5:$A$1004,"&gt;="&amp;DATE(Start!$C$6,G$3,1),Buchungen!$A$5:$A$1004,"&lt;"&amp;DATE(Start!$C$6,G$3+1,1)))</f>
        <v>0</v>
      </c>
      <c r="H24" s="39" t="n">
        <f aca="false">IF($A24="",0,SUMIFS(Buchungen!$D$5:$D$1004,Buchungen!$B$5:$B$1004,$A24,Buchungen!$A$5:$A$1004,"&gt;="&amp;DATE(Start!$C$6,H$3,1),Buchungen!$A$5:$A$1004,"&lt;"&amp;DATE(Start!$C$6,H$3+1,1)))</f>
        <v>0</v>
      </c>
      <c r="I24" s="39" t="n">
        <f aca="false">IF($A24="",0,SUMIFS(Buchungen!$D$5:$D$1004,Buchungen!$B$5:$B$1004,$A24,Buchungen!$A$5:$A$1004,"&gt;="&amp;DATE(Start!$C$6,I$3,1),Buchungen!$A$5:$A$1004,"&lt;"&amp;DATE(Start!$C$6,I$3+1,1)))</f>
        <v>0</v>
      </c>
      <c r="J24" s="39" t="n">
        <f aca="false">IF($A24="",0,SUMIFS(Buchungen!$D$5:$D$1004,Buchungen!$B$5:$B$1004,$A24,Buchungen!$A$5:$A$1004,"&gt;="&amp;DATE(Start!$C$6,J$3,1),Buchungen!$A$5:$A$1004,"&lt;"&amp;DATE(Start!$C$6,J$3+1,1)))</f>
        <v>0</v>
      </c>
      <c r="K24" s="39" t="n">
        <f aca="false">IF($A24="",0,SUMIFS(Buchungen!$D$5:$D$1004,Buchungen!$B$5:$B$1004,$A24,Buchungen!$A$5:$A$1004,"&gt;="&amp;DATE(Start!$C$6,K$3,1),Buchungen!$A$5:$A$1004,"&lt;"&amp;DATE(Start!$C$6,K$3+1,1)))</f>
        <v>0</v>
      </c>
      <c r="L24" s="39" t="n">
        <f aca="false">IF($A24="",0,SUMIFS(Buchungen!$D$5:$D$1004,Buchungen!$B$5:$B$1004,$A24,Buchungen!$A$5:$A$1004,"&gt;="&amp;DATE(Start!$C$6,L$3,1),Buchungen!$A$5:$A$1004,"&lt;"&amp;DATE(Start!$C$6,L$3+1,1)))</f>
        <v>0</v>
      </c>
      <c r="M24" s="39" t="n">
        <f aca="false">IF($A24="",0,SUMIFS(Buchungen!$D$5:$D$1004,Buchungen!$B$5:$B$1004,$A24,Buchungen!$A$5:$A$1004,"&gt;="&amp;DATE(Start!$C$6,M$3,1),Buchungen!$A$5:$A$1004,"&lt;"&amp;DATE(Start!$C$6,M$3+1,1)))</f>
        <v>0</v>
      </c>
      <c r="N24" s="39" t="n">
        <f aca="false">IF($A24="",0,SUMIFS(Buchungen!$D$5:$D$1004,Buchungen!$B$5:$B$1004,$A24,Buchungen!$A$5:$A$1004,"&gt;="&amp;DATE(Start!$C$6,N$3,1),Buchungen!$A$5:$A$1004,"&lt;"&amp;DATE(Start!$C$6,N$3+1,1)))</f>
        <v>0</v>
      </c>
      <c r="O24" s="40" t="n">
        <f aca="false">SUM(C24:N24)</f>
        <v>0</v>
      </c>
      <c r="P24" s="39" t="n">
        <f aca="false">IF($A24="","",O24/MAX(1,$B$48))</f>
        <v>0</v>
      </c>
      <c r="Q24" s="39" t="str">
        <f aca="false">IF(OR($A24="",$B24=0),"",B24*$B$48)</f>
        <v/>
      </c>
      <c r="R24" s="39" t="str">
        <f aca="false">IF(OR($A24="",$B24=0),"",Q24-O24)</f>
        <v/>
      </c>
      <c r="S24" s="1" t="n">
        <f aca="false">IF($A24="",-1,O24+(100-ROW())/1000000)</f>
        <v>7.6E-005</v>
      </c>
    </row>
    <row r="25" customFormat="false" ht="15" hidden="false" customHeight="false" outlineLevel="0" collapsed="false">
      <c r="A25" s="10" t="str">
        <f aca="false">IF(Kategorien!A21="","",Kategorien!A21)</f>
        <v>Gesundheit &amp; Drogerie</v>
      </c>
      <c r="B25" s="39" t="n">
        <f aca="false">IF($A25="",0,N(Kategorien!C21))</f>
        <v>0</v>
      </c>
      <c r="C25" s="39" t="n">
        <f aca="false">IF($A25="",0,SUMIFS(Buchungen!$D$5:$D$1004,Buchungen!$B$5:$B$1004,$A25,Buchungen!$A$5:$A$1004,"&gt;="&amp;DATE(Start!$C$6,C$3,1),Buchungen!$A$5:$A$1004,"&lt;"&amp;DATE(Start!$C$6,C$3+1,1)))</f>
        <v>0</v>
      </c>
      <c r="D25" s="39" t="n">
        <f aca="false">IF($A25="",0,SUMIFS(Buchungen!$D$5:$D$1004,Buchungen!$B$5:$B$1004,$A25,Buchungen!$A$5:$A$1004,"&gt;="&amp;DATE(Start!$C$6,D$3,1),Buchungen!$A$5:$A$1004,"&lt;"&amp;DATE(Start!$C$6,D$3+1,1)))</f>
        <v>0</v>
      </c>
      <c r="E25" s="39" t="n">
        <f aca="false">IF($A25="",0,SUMIFS(Buchungen!$D$5:$D$1004,Buchungen!$B$5:$B$1004,$A25,Buchungen!$A$5:$A$1004,"&gt;="&amp;DATE(Start!$C$6,E$3,1),Buchungen!$A$5:$A$1004,"&lt;"&amp;DATE(Start!$C$6,E$3+1,1)))</f>
        <v>0</v>
      </c>
      <c r="F25" s="39" t="n">
        <f aca="false">IF($A25="",0,SUMIFS(Buchungen!$D$5:$D$1004,Buchungen!$B$5:$B$1004,$A25,Buchungen!$A$5:$A$1004,"&gt;="&amp;DATE(Start!$C$6,F$3,1),Buchungen!$A$5:$A$1004,"&lt;"&amp;DATE(Start!$C$6,F$3+1,1)))</f>
        <v>0</v>
      </c>
      <c r="G25" s="39" t="n">
        <f aca="false">IF($A25="",0,SUMIFS(Buchungen!$D$5:$D$1004,Buchungen!$B$5:$B$1004,$A25,Buchungen!$A$5:$A$1004,"&gt;="&amp;DATE(Start!$C$6,G$3,1),Buchungen!$A$5:$A$1004,"&lt;"&amp;DATE(Start!$C$6,G$3+1,1)))</f>
        <v>0</v>
      </c>
      <c r="H25" s="39" t="n">
        <f aca="false">IF($A25="",0,SUMIFS(Buchungen!$D$5:$D$1004,Buchungen!$B$5:$B$1004,$A25,Buchungen!$A$5:$A$1004,"&gt;="&amp;DATE(Start!$C$6,H$3,1),Buchungen!$A$5:$A$1004,"&lt;"&amp;DATE(Start!$C$6,H$3+1,1)))</f>
        <v>0</v>
      </c>
      <c r="I25" s="39" t="n">
        <f aca="false">IF($A25="",0,SUMIFS(Buchungen!$D$5:$D$1004,Buchungen!$B$5:$B$1004,$A25,Buchungen!$A$5:$A$1004,"&gt;="&amp;DATE(Start!$C$6,I$3,1),Buchungen!$A$5:$A$1004,"&lt;"&amp;DATE(Start!$C$6,I$3+1,1)))</f>
        <v>0</v>
      </c>
      <c r="J25" s="39" t="n">
        <f aca="false">IF($A25="",0,SUMIFS(Buchungen!$D$5:$D$1004,Buchungen!$B$5:$B$1004,$A25,Buchungen!$A$5:$A$1004,"&gt;="&amp;DATE(Start!$C$6,J$3,1),Buchungen!$A$5:$A$1004,"&lt;"&amp;DATE(Start!$C$6,J$3+1,1)))</f>
        <v>0</v>
      </c>
      <c r="K25" s="39" t="n">
        <f aca="false">IF($A25="",0,SUMIFS(Buchungen!$D$5:$D$1004,Buchungen!$B$5:$B$1004,$A25,Buchungen!$A$5:$A$1004,"&gt;="&amp;DATE(Start!$C$6,K$3,1),Buchungen!$A$5:$A$1004,"&lt;"&amp;DATE(Start!$C$6,K$3+1,1)))</f>
        <v>0</v>
      </c>
      <c r="L25" s="39" t="n">
        <f aca="false">IF($A25="",0,SUMIFS(Buchungen!$D$5:$D$1004,Buchungen!$B$5:$B$1004,$A25,Buchungen!$A$5:$A$1004,"&gt;="&amp;DATE(Start!$C$6,L$3,1),Buchungen!$A$5:$A$1004,"&lt;"&amp;DATE(Start!$C$6,L$3+1,1)))</f>
        <v>0</v>
      </c>
      <c r="M25" s="39" t="n">
        <f aca="false">IF($A25="",0,SUMIFS(Buchungen!$D$5:$D$1004,Buchungen!$B$5:$B$1004,$A25,Buchungen!$A$5:$A$1004,"&gt;="&amp;DATE(Start!$C$6,M$3,1),Buchungen!$A$5:$A$1004,"&lt;"&amp;DATE(Start!$C$6,M$3+1,1)))</f>
        <v>0</v>
      </c>
      <c r="N25" s="39" t="n">
        <f aca="false">IF($A25="",0,SUMIFS(Buchungen!$D$5:$D$1004,Buchungen!$B$5:$B$1004,$A25,Buchungen!$A$5:$A$1004,"&gt;="&amp;DATE(Start!$C$6,N$3,1),Buchungen!$A$5:$A$1004,"&lt;"&amp;DATE(Start!$C$6,N$3+1,1)))</f>
        <v>0</v>
      </c>
      <c r="O25" s="40" t="n">
        <f aca="false">SUM(C25:N25)</f>
        <v>0</v>
      </c>
      <c r="P25" s="39" t="n">
        <f aca="false">IF($A25="","",O25/MAX(1,$B$48))</f>
        <v>0</v>
      </c>
      <c r="Q25" s="39" t="str">
        <f aca="false">IF(OR($A25="",$B25=0),"",B25*$B$48)</f>
        <v/>
      </c>
      <c r="R25" s="39" t="str">
        <f aca="false">IF(OR($A25="",$B25=0),"",Q25-O25)</f>
        <v/>
      </c>
      <c r="S25" s="1" t="n">
        <f aca="false">IF($A25="",-1,O25+(100-ROW())/1000000)</f>
        <v>7.5E-005</v>
      </c>
    </row>
    <row r="26" customFormat="false" ht="15" hidden="false" customHeight="false" outlineLevel="0" collapsed="false">
      <c r="A26" s="10" t="str">
        <f aca="false">IF(Kategorien!A22="","",Kategorien!A22)</f>
        <v>Geschenke</v>
      </c>
      <c r="B26" s="39" t="n">
        <f aca="false">IF($A26="",0,N(Kategorien!C22))</f>
        <v>0</v>
      </c>
      <c r="C26" s="39" t="n">
        <f aca="false">IF($A26="",0,SUMIFS(Buchungen!$D$5:$D$1004,Buchungen!$B$5:$B$1004,$A26,Buchungen!$A$5:$A$1004,"&gt;="&amp;DATE(Start!$C$6,C$3,1),Buchungen!$A$5:$A$1004,"&lt;"&amp;DATE(Start!$C$6,C$3+1,1)))</f>
        <v>0</v>
      </c>
      <c r="D26" s="39" t="n">
        <f aca="false">IF($A26="",0,SUMIFS(Buchungen!$D$5:$D$1004,Buchungen!$B$5:$B$1004,$A26,Buchungen!$A$5:$A$1004,"&gt;="&amp;DATE(Start!$C$6,D$3,1),Buchungen!$A$5:$A$1004,"&lt;"&amp;DATE(Start!$C$6,D$3+1,1)))</f>
        <v>0</v>
      </c>
      <c r="E26" s="39" t="n">
        <f aca="false">IF($A26="",0,SUMIFS(Buchungen!$D$5:$D$1004,Buchungen!$B$5:$B$1004,$A26,Buchungen!$A$5:$A$1004,"&gt;="&amp;DATE(Start!$C$6,E$3,1),Buchungen!$A$5:$A$1004,"&lt;"&amp;DATE(Start!$C$6,E$3+1,1)))</f>
        <v>0</v>
      </c>
      <c r="F26" s="39" t="n">
        <f aca="false">IF($A26="",0,SUMIFS(Buchungen!$D$5:$D$1004,Buchungen!$B$5:$B$1004,$A26,Buchungen!$A$5:$A$1004,"&gt;="&amp;DATE(Start!$C$6,F$3,1),Buchungen!$A$5:$A$1004,"&lt;"&amp;DATE(Start!$C$6,F$3+1,1)))</f>
        <v>0</v>
      </c>
      <c r="G26" s="39" t="n">
        <f aca="false">IF($A26="",0,SUMIFS(Buchungen!$D$5:$D$1004,Buchungen!$B$5:$B$1004,$A26,Buchungen!$A$5:$A$1004,"&gt;="&amp;DATE(Start!$C$6,G$3,1),Buchungen!$A$5:$A$1004,"&lt;"&amp;DATE(Start!$C$6,G$3+1,1)))</f>
        <v>0</v>
      </c>
      <c r="H26" s="39" t="n">
        <f aca="false">IF($A26="",0,SUMIFS(Buchungen!$D$5:$D$1004,Buchungen!$B$5:$B$1004,$A26,Buchungen!$A$5:$A$1004,"&gt;="&amp;DATE(Start!$C$6,H$3,1),Buchungen!$A$5:$A$1004,"&lt;"&amp;DATE(Start!$C$6,H$3+1,1)))</f>
        <v>0</v>
      </c>
      <c r="I26" s="39" t="n">
        <f aca="false">IF($A26="",0,SUMIFS(Buchungen!$D$5:$D$1004,Buchungen!$B$5:$B$1004,$A26,Buchungen!$A$5:$A$1004,"&gt;="&amp;DATE(Start!$C$6,I$3,1),Buchungen!$A$5:$A$1004,"&lt;"&amp;DATE(Start!$C$6,I$3+1,1)))</f>
        <v>0</v>
      </c>
      <c r="J26" s="39" t="n">
        <f aca="false">IF($A26="",0,SUMIFS(Buchungen!$D$5:$D$1004,Buchungen!$B$5:$B$1004,$A26,Buchungen!$A$5:$A$1004,"&gt;="&amp;DATE(Start!$C$6,J$3,1),Buchungen!$A$5:$A$1004,"&lt;"&amp;DATE(Start!$C$6,J$3+1,1)))</f>
        <v>0</v>
      </c>
      <c r="K26" s="39" t="n">
        <f aca="false">IF($A26="",0,SUMIFS(Buchungen!$D$5:$D$1004,Buchungen!$B$5:$B$1004,$A26,Buchungen!$A$5:$A$1004,"&gt;="&amp;DATE(Start!$C$6,K$3,1),Buchungen!$A$5:$A$1004,"&lt;"&amp;DATE(Start!$C$6,K$3+1,1)))</f>
        <v>0</v>
      </c>
      <c r="L26" s="39" t="n">
        <f aca="false">IF($A26="",0,SUMIFS(Buchungen!$D$5:$D$1004,Buchungen!$B$5:$B$1004,$A26,Buchungen!$A$5:$A$1004,"&gt;="&amp;DATE(Start!$C$6,L$3,1),Buchungen!$A$5:$A$1004,"&lt;"&amp;DATE(Start!$C$6,L$3+1,1)))</f>
        <v>0</v>
      </c>
      <c r="M26" s="39" t="n">
        <f aca="false">IF($A26="",0,SUMIFS(Buchungen!$D$5:$D$1004,Buchungen!$B$5:$B$1004,$A26,Buchungen!$A$5:$A$1004,"&gt;="&amp;DATE(Start!$C$6,M$3,1),Buchungen!$A$5:$A$1004,"&lt;"&amp;DATE(Start!$C$6,M$3+1,1)))</f>
        <v>0</v>
      </c>
      <c r="N26" s="39" t="n">
        <f aca="false">IF($A26="",0,SUMIFS(Buchungen!$D$5:$D$1004,Buchungen!$B$5:$B$1004,$A26,Buchungen!$A$5:$A$1004,"&gt;="&amp;DATE(Start!$C$6,N$3,1),Buchungen!$A$5:$A$1004,"&lt;"&amp;DATE(Start!$C$6,N$3+1,1)))</f>
        <v>0</v>
      </c>
      <c r="O26" s="40" t="n">
        <f aca="false">SUM(C26:N26)</f>
        <v>0</v>
      </c>
      <c r="P26" s="39" t="n">
        <f aca="false">IF($A26="","",O26/MAX(1,$B$48))</f>
        <v>0</v>
      </c>
      <c r="Q26" s="39" t="str">
        <f aca="false">IF(OR($A26="",$B26=0),"",B26*$B$48)</f>
        <v/>
      </c>
      <c r="R26" s="39" t="str">
        <f aca="false">IF(OR($A26="",$B26=0),"",Q26-O26)</f>
        <v/>
      </c>
      <c r="S26" s="1" t="n">
        <f aca="false">IF($A26="",-1,O26+(100-ROW())/1000000)</f>
        <v>7.4E-005</v>
      </c>
    </row>
    <row r="27" customFormat="false" ht="15" hidden="false" customHeight="false" outlineLevel="0" collapsed="false">
      <c r="A27" s="10" t="str">
        <f aca="false">IF(Kategorien!A23="","",Kategorien!A23)</f>
        <v>Urlaub</v>
      </c>
      <c r="B27" s="39" t="n">
        <f aca="false">IF($A27="",0,N(Kategorien!C23))</f>
        <v>0</v>
      </c>
      <c r="C27" s="39" t="n">
        <f aca="false">IF($A27="",0,SUMIFS(Buchungen!$D$5:$D$1004,Buchungen!$B$5:$B$1004,$A27,Buchungen!$A$5:$A$1004,"&gt;="&amp;DATE(Start!$C$6,C$3,1),Buchungen!$A$5:$A$1004,"&lt;"&amp;DATE(Start!$C$6,C$3+1,1)))</f>
        <v>0</v>
      </c>
      <c r="D27" s="39" t="n">
        <f aca="false">IF($A27="",0,SUMIFS(Buchungen!$D$5:$D$1004,Buchungen!$B$5:$B$1004,$A27,Buchungen!$A$5:$A$1004,"&gt;="&amp;DATE(Start!$C$6,D$3,1),Buchungen!$A$5:$A$1004,"&lt;"&amp;DATE(Start!$C$6,D$3+1,1)))</f>
        <v>0</v>
      </c>
      <c r="E27" s="39" t="n">
        <f aca="false">IF($A27="",0,SUMIFS(Buchungen!$D$5:$D$1004,Buchungen!$B$5:$B$1004,$A27,Buchungen!$A$5:$A$1004,"&gt;="&amp;DATE(Start!$C$6,E$3,1),Buchungen!$A$5:$A$1004,"&lt;"&amp;DATE(Start!$C$6,E$3+1,1)))</f>
        <v>0</v>
      </c>
      <c r="F27" s="39" t="n">
        <f aca="false">IF($A27="",0,SUMIFS(Buchungen!$D$5:$D$1004,Buchungen!$B$5:$B$1004,$A27,Buchungen!$A$5:$A$1004,"&gt;="&amp;DATE(Start!$C$6,F$3,1),Buchungen!$A$5:$A$1004,"&lt;"&amp;DATE(Start!$C$6,F$3+1,1)))</f>
        <v>0</v>
      </c>
      <c r="G27" s="39" t="n">
        <f aca="false">IF($A27="",0,SUMIFS(Buchungen!$D$5:$D$1004,Buchungen!$B$5:$B$1004,$A27,Buchungen!$A$5:$A$1004,"&gt;="&amp;DATE(Start!$C$6,G$3,1),Buchungen!$A$5:$A$1004,"&lt;"&amp;DATE(Start!$C$6,G$3+1,1)))</f>
        <v>0</v>
      </c>
      <c r="H27" s="39" t="n">
        <f aca="false">IF($A27="",0,SUMIFS(Buchungen!$D$5:$D$1004,Buchungen!$B$5:$B$1004,$A27,Buchungen!$A$5:$A$1004,"&gt;="&amp;DATE(Start!$C$6,H$3,1),Buchungen!$A$5:$A$1004,"&lt;"&amp;DATE(Start!$C$6,H$3+1,1)))</f>
        <v>0</v>
      </c>
      <c r="I27" s="39" t="n">
        <f aca="false">IF($A27="",0,SUMIFS(Buchungen!$D$5:$D$1004,Buchungen!$B$5:$B$1004,$A27,Buchungen!$A$5:$A$1004,"&gt;="&amp;DATE(Start!$C$6,I$3,1),Buchungen!$A$5:$A$1004,"&lt;"&amp;DATE(Start!$C$6,I$3+1,1)))</f>
        <v>0</v>
      </c>
      <c r="J27" s="39" t="n">
        <f aca="false">IF($A27="",0,SUMIFS(Buchungen!$D$5:$D$1004,Buchungen!$B$5:$B$1004,$A27,Buchungen!$A$5:$A$1004,"&gt;="&amp;DATE(Start!$C$6,J$3,1),Buchungen!$A$5:$A$1004,"&lt;"&amp;DATE(Start!$C$6,J$3+1,1)))</f>
        <v>0</v>
      </c>
      <c r="K27" s="39" t="n">
        <f aca="false">IF($A27="",0,SUMIFS(Buchungen!$D$5:$D$1004,Buchungen!$B$5:$B$1004,$A27,Buchungen!$A$5:$A$1004,"&gt;="&amp;DATE(Start!$C$6,K$3,1),Buchungen!$A$5:$A$1004,"&lt;"&amp;DATE(Start!$C$6,K$3+1,1)))</f>
        <v>0</v>
      </c>
      <c r="L27" s="39" t="n">
        <f aca="false">IF($A27="",0,SUMIFS(Buchungen!$D$5:$D$1004,Buchungen!$B$5:$B$1004,$A27,Buchungen!$A$5:$A$1004,"&gt;="&amp;DATE(Start!$C$6,L$3,1),Buchungen!$A$5:$A$1004,"&lt;"&amp;DATE(Start!$C$6,L$3+1,1)))</f>
        <v>0</v>
      </c>
      <c r="M27" s="39" t="n">
        <f aca="false">IF($A27="",0,SUMIFS(Buchungen!$D$5:$D$1004,Buchungen!$B$5:$B$1004,$A27,Buchungen!$A$5:$A$1004,"&gt;="&amp;DATE(Start!$C$6,M$3,1),Buchungen!$A$5:$A$1004,"&lt;"&amp;DATE(Start!$C$6,M$3+1,1)))</f>
        <v>0</v>
      </c>
      <c r="N27" s="39" t="n">
        <f aca="false">IF($A27="",0,SUMIFS(Buchungen!$D$5:$D$1004,Buchungen!$B$5:$B$1004,$A27,Buchungen!$A$5:$A$1004,"&gt;="&amp;DATE(Start!$C$6,N$3,1),Buchungen!$A$5:$A$1004,"&lt;"&amp;DATE(Start!$C$6,N$3+1,1)))</f>
        <v>0</v>
      </c>
      <c r="O27" s="40" t="n">
        <f aca="false">SUM(C27:N27)</f>
        <v>0</v>
      </c>
      <c r="P27" s="39" t="n">
        <f aca="false">IF($A27="","",O27/MAX(1,$B$48))</f>
        <v>0</v>
      </c>
      <c r="Q27" s="39" t="str">
        <f aca="false">IF(OR($A27="",$B27=0),"",B27*$B$48)</f>
        <v/>
      </c>
      <c r="R27" s="39" t="str">
        <f aca="false">IF(OR($A27="",$B27=0),"",Q27-O27)</f>
        <v/>
      </c>
      <c r="S27" s="1" t="n">
        <f aca="false">IF($A27="",-1,O27+(100-ROW())/1000000)</f>
        <v>7.3E-005</v>
      </c>
    </row>
    <row r="28" customFormat="false" ht="15" hidden="false" customHeight="false" outlineLevel="0" collapsed="false">
      <c r="A28" s="10" t="str">
        <f aca="false">IF(Kategorien!A24="","",Kategorien!A24)</f>
        <v>Sonstiges</v>
      </c>
      <c r="B28" s="39" t="n">
        <f aca="false">IF($A28="",0,N(Kategorien!C24))</f>
        <v>0</v>
      </c>
      <c r="C28" s="39" t="n">
        <f aca="false">IF($A28="",0,SUMIFS(Buchungen!$D$5:$D$1004,Buchungen!$B$5:$B$1004,$A28,Buchungen!$A$5:$A$1004,"&gt;="&amp;DATE(Start!$C$6,C$3,1),Buchungen!$A$5:$A$1004,"&lt;"&amp;DATE(Start!$C$6,C$3+1,1)))</f>
        <v>0</v>
      </c>
      <c r="D28" s="39" t="n">
        <f aca="false">IF($A28="",0,SUMIFS(Buchungen!$D$5:$D$1004,Buchungen!$B$5:$B$1004,$A28,Buchungen!$A$5:$A$1004,"&gt;="&amp;DATE(Start!$C$6,D$3,1),Buchungen!$A$5:$A$1004,"&lt;"&amp;DATE(Start!$C$6,D$3+1,1)))</f>
        <v>0</v>
      </c>
      <c r="E28" s="39" t="n">
        <f aca="false">IF($A28="",0,SUMIFS(Buchungen!$D$5:$D$1004,Buchungen!$B$5:$B$1004,$A28,Buchungen!$A$5:$A$1004,"&gt;="&amp;DATE(Start!$C$6,E$3,1),Buchungen!$A$5:$A$1004,"&lt;"&amp;DATE(Start!$C$6,E$3+1,1)))</f>
        <v>0</v>
      </c>
      <c r="F28" s="39" t="n">
        <f aca="false">IF($A28="",0,SUMIFS(Buchungen!$D$5:$D$1004,Buchungen!$B$5:$B$1004,$A28,Buchungen!$A$5:$A$1004,"&gt;="&amp;DATE(Start!$C$6,F$3,1),Buchungen!$A$5:$A$1004,"&lt;"&amp;DATE(Start!$C$6,F$3+1,1)))</f>
        <v>0</v>
      </c>
      <c r="G28" s="39" t="n">
        <f aca="false">IF($A28="",0,SUMIFS(Buchungen!$D$5:$D$1004,Buchungen!$B$5:$B$1004,$A28,Buchungen!$A$5:$A$1004,"&gt;="&amp;DATE(Start!$C$6,G$3,1),Buchungen!$A$5:$A$1004,"&lt;"&amp;DATE(Start!$C$6,G$3+1,1)))</f>
        <v>0</v>
      </c>
      <c r="H28" s="39" t="n">
        <f aca="false">IF($A28="",0,SUMIFS(Buchungen!$D$5:$D$1004,Buchungen!$B$5:$B$1004,$A28,Buchungen!$A$5:$A$1004,"&gt;="&amp;DATE(Start!$C$6,H$3,1),Buchungen!$A$5:$A$1004,"&lt;"&amp;DATE(Start!$C$6,H$3+1,1)))</f>
        <v>0</v>
      </c>
      <c r="I28" s="39" t="n">
        <f aca="false">IF($A28="",0,SUMIFS(Buchungen!$D$5:$D$1004,Buchungen!$B$5:$B$1004,$A28,Buchungen!$A$5:$A$1004,"&gt;="&amp;DATE(Start!$C$6,I$3,1),Buchungen!$A$5:$A$1004,"&lt;"&amp;DATE(Start!$C$6,I$3+1,1)))</f>
        <v>0</v>
      </c>
      <c r="J28" s="39" t="n">
        <f aca="false">IF($A28="",0,SUMIFS(Buchungen!$D$5:$D$1004,Buchungen!$B$5:$B$1004,$A28,Buchungen!$A$5:$A$1004,"&gt;="&amp;DATE(Start!$C$6,J$3,1),Buchungen!$A$5:$A$1004,"&lt;"&amp;DATE(Start!$C$6,J$3+1,1)))</f>
        <v>0</v>
      </c>
      <c r="K28" s="39" t="n">
        <f aca="false">IF($A28="",0,SUMIFS(Buchungen!$D$5:$D$1004,Buchungen!$B$5:$B$1004,$A28,Buchungen!$A$5:$A$1004,"&gt;="&amp;DATE(Start!$C$6,K$3,1),Buchungen!$A$5:$A$1004,"&lt;"&amp;DATE(Start!$C$6,K$3+1,1)))</f>
        <v>0</v>
      </c>
      <c r="L28" s="39" t="n">
        <f aca="false">IF($A28="",0,SUMIFS(Buchungen!$D$5:$D$1004,Buchungen!$B$5:$B$1004,$A28,Buchungen!$A$5:$A$1004,"&gt;="&amp;DATE(Start!$C$6,L$3,1),Buchungen!$A$5:$A$1004,"&lt;"&amp;DATE(Start!$C$6,L$3+1,1)))</f>
        <v>0</v>
      </c>
      <c r="M28" s="39" t="n">
        <f aca="false">IF($A28="",0,SUMIFS(Buchungen!$D$5:$D$1004,Buchungen!$B$5:$B$1004,$A28,Buchungen!$A$5:$A$1004,"&gt;="&amp;DATE(Start!$C$6,M$3,1),Buchungen!$A$5:$A$1004,"&lt;"&amp;DATE(Start!$C$6,M$3+1,1)))</f>
        <v>0</v>
      </c>
      <c r="N28" s="39" t="n">
        <f aca="false">IF($A28="",0,SUMIFS(Buchungen!$D$5:$D$1004,Buchungen!$B$5:$B$1004,$A28,Buchungen!$A$5:$A$1004,"&gt;="&amp;DATE(Start!$C$6,N$3,1),Buchungen!$A$5:$A$1004,"&lt;"&amp;DATE(Start!$C$6,N$3+1,1)))</f>
        <v>0</v>
      </c>
      <c r="O28" s="40" t="n">
        <f aca="false">SUM(C28:N28)</f>
        <v>0</v>
      </c>
      <c r="P28" s="39" t="n">
        <f aca="false">IF($A28="","",O28/MAX(1,$B$48))</f>
        <v>0</v>
      </c>
      <c r="Q28" s="39" t="str">
        <f aca="false">IF(OR($A28="",$B28=0),"",B28*$B$48)</f>
        <v/>
      </c>
      <c r="R28" s="39" t="str">
        <f aca="false">IF(OR($A28="",$B28=0),"",Q28-O28)</f>
        <v/>
      </c>
      <c r="S28" s="1" t="n">
        <f aca="false">IF($A28="",-1,O28+(100-ROW())/1000000)</f>
        <v>7.2E-005</v>
      </c>
    </row>
    <row r="29" customFormat="false" ht="15" hidden="false" customHeight="false" outlineLevel="0" collapsed="false">
      <c r="A29" s="10" t="str">
        <f aca="false">IF(Kategorien!A25="","",Kategorien!A25)</f>
        <v/>
      </c>
      <c r="B29" s="39" t="n">
        <f aca="false">IF($A29="",0,N(Kategorien!C25))</f>
        <v>0</v>
      </c>
      <c r="C29" s="39" t="n">
        <f aca="false">IF($A29="",0,SUMIFS(Buchungen!$D$5:$D$1004,Buchungen!$B$5:$B$1004,$A29,Buchungen!$A$5:$A$1004,"&gt;="&amp;DATE(Start!$C$6,C$3,1),Buchungen!$A$5:$A$1004,"&lt;"&amp;DATE(Start!$C$6,C$3+1,1)))</f>
        <v>0</v>
      </c>
      <c r="D29" s="39" t="n">
        <f aca="false">IF($A29="",0,SUMIFS(Buchungen!$D$5:$D$1004,Buchungen!$B$5:$B$1004,$A29,Buchungen!$A$5:$A$1004,"&gt;="&amp;DATE(Start!$C$6,D$3,1),Buchungen!$A$5:$A$1004,"&lt;"&amp;DATE(Start!$C$6,D$3+1,1)))</f>
        <v>0</v>
      </c>
      <c r="E29" s="39" t="n">
        <f aca="false">IF($A29="",0,SUMIFS(Buchungen!$D$5:$D$1004,Buchungen!$B$5:$B$1004,$A29,Buchungen!$A$5:$A$1004,"&gt;="&amp;DATE(Start!$C$6,E$3,1),Buchungen!$A$5:$A$1004,"&lt;"&amp;DATE(Start!$C$6,E$3+1,1)))</f>
        <v>0</v>
      </c>
      <c r="F29" s="39" t="n">
        <f aca="false">IF($A29="",0,SUMIFS(Buchungen!$D$5:$D$1004,Buchungen!$B$5:$B$1004,$A29,Buchungen!$A$5:$A$1004,"&gt;="&amp;DATE(Start!$C$6,F$3,1),Buchungen!$A$5:$A$1004,"&lt;"&amp;DATE(Start!$C$6,F$3+1,1)))</f>
        <v>0</v>
      </c>
      <c r="G29" s="39" t="n">
        <f aca="false">IF($A29="",0,SUMIFS(Buchungen!$D$5:$D$1004,Buchungen!$B$5:$B$1004,$A29,Buchungen!$A$5:$A$1004,"&gt;="&amp;DATE(Start!$C$6,G$3,1),Buchungen!$A$5:$A$1004,"&lt;"&amp;DATE(Start!$C$6,G$3+1,1)))</f>
        <v>0</v>
      </c>
      <c r="H29" s="39" t="n">
        <f aca="false">IF($A29="",0,SUMIFS(Buchungen!$D$5:$D$1004,Buchungen!$B$5:$B$1004,$A29,Buchungen!$A$5:$A$1004,"&gt;="&amp;DATE(Start!$C$6,H$3,1),Buchungen!$A$5:$A$1004,"&lt;"&amp;DATE(Start!$C$6,H$3+1,1)))</f>
        <v>0</v>
      </c>
      <c r="I29" s="39" t="n">
        <f aca="false">IF($A29="",0,SUMIFS(Buchungen!$D$5:$D$1004,Buchungen!$B$5:$B$1004,$A29,Buchungen!$A$5:$A$1004,"&gt;="&amp;DATE(Start!$C$6,I$3,1),Buchungen!$A$5:$A$1004,"&lt;"&amp;DATE(Start!$C$6,I$3+1,1)))</f>
        <v>0</v>
      </c>
      <c r="J29" s="39" t="n">
        <f aca="false">IF($A29="",0,SUMIFS(Buchungen!$D$5:$D$1004,Buchungen!$B$5:$B$1004,$A29,Buchungen!$A$5:$A$1004,"&gt;="&amp;DATE(Start!$C$6,J$3,1),Buchungen!$A$5:$A$1004,"&lt;"&amp;DATE(Start!$C$6,J$3+1,1)))</f>
        <v>0</v>
      </c>
      <c r="K29" s="39" t="n">
        <f aca="false">IF($A29="",0,SUMIFS(Buchungen!$D$5:$D$1004,Buchungen!$B$5:$B$1004,$A29,Buchungen!$A$5:$A$1004,"&gt;="&amp;DATE(Start!$C$6,K$3,1),Buchungen!$A$5:$A$1004,"&lt;"&amp;DATE(Start!$C$6,K$3+1,1)))</f>
        <v>0</v>
      </c>
      <c r="L29" s="39" t="n">
        <f aca="false">IF($A29="",0,SUMIFS(Buchungen!$D$5:$D$1004,Buchungen!$B$5:$B$1004,$A29,Buchungen!$A$5:$A$1004,"&gt;="&amp;DATE(Start!$C$6,L$3,1),Buchungen!$A$5:$A$1004,"&lt;"&amp;DATE(Start!$C$6,L$3+1,1)))</f>
        <v>0</v>
      </c>
      <c r="M29" s="39" t="n">
        <f aca="false">IF($A29="",0,SUMIFS(Buchungen!$D$5:$D$1004,Buchungen!$B$5:$B$1004,$A29,Buchungen!$A$5:$A$1004,"&gt;="&amp;DATE(Start!$C$6,M$3,1),Buchungen!$A$5:$A$1004,"&lt;"&amp;DATE(Start!$C$6,M$3+1,1)))</f>
        <v>0</v>
      </c>
      <c r="N29" s="39" t="n">
        <f aca="false">IF($A29="",0,SUMIFS(Buchungen!$D$5:$D$1004,Buchungen!$B$5:$B$1004,$A29,Buchungen!$A$5:$A$1004,"&gt;="&amp;DATE(Start!$C$6,N$3,1),Buchungen!$A$5:$A$1004,"&lt;"&amp;DATE(Start!$C$6,N$3+1,1)))</f>
        <v>0</v>
      </c>
      <c r="O29" s="40" t="n">
        <f aca="false">SUM(C29:N29)</f>
        <v>0</v>
      </c>
      <c r="P29" s="39" t="str">
        <f aca="false">IF($A29="","",O29/MAX(1,$B$48))</f>
        <v/>
      </c>
      <c r="Q29" s="39" t="str">
        <f aca="false">IF(OR($A29="",$B29=0),"",B29*$B$48)</f>
        <v/>
      </c>
      <c r="R29" s="39" t="str">
        <f aca="false">IF(OR($A29="",$B29=0),"",Q29-O29)</f>
        <v/>
      </c>
      <c r="S29" s="1" t="n">
        <f aca="false">IF($A29="",-1,O29+(100-ROW())/1000000)</f>
        <v>-1</v>
      </c>
    </row>
    <row r="30" customFormat="false" ht="15" hidden="false" customHeight="false" outlineLevel="0" collapsed="false">
      <c r="A30" s="10" t="str">
        <f aca="false">IF(Kategorien!A26="","",Kategorien!A26)</f>
        <v/>
      </c>
      <c r="B30" s="39" t="n">
        <f aca="false">IF($A30="",0,N(Kategorien!C26))</f>
        <v>0</v>
      </c>
      <c r="C30" s="39" t="n">
        <f aca="false">IF($A30="",0,SUMIFS(Buchungen!$D$5:$D$1004,Buchungen!$B$5:$B$1004,$A30,Buchungen!$A$5:$A$1004,"&gt;="&amp;DATE(Start!$C$6,C$3,1),Buchungen!$A$5:$A$1004,"&lt;"&amp;DATE(Start!$C$6,C$3+1,1)))</f>
        <v>0</v>
      </c>
      <c r="D30" s="39" t="n">
        <f aca="false">IF($A30="",0,SUMIFS(Buchungen!$D$5:$D$1004,Buchungen!$B$5:$B$1004,$A30,Buchungen!$A$5:$A$1004,"&gt;="&amp;DATE(Start!$C$6,D$3,1),Buchungen!$A$5:$A$1004,"&lt;"&amp;DATE(Start!$C$6,D$3+1,1)))</f>
        <v>0</v>
      </c>
      <c r="E30" s="39" t="n">
        <f aca="false">IF($A30="",0,SUMIFS(Buchungen!$D$5:$D$1004,Buchungen!$B$5:$B$1004,$A30,Buchungen!$A$5:$A$1004,"&gt;="&amp;DATE(Start!$C$6,E$3,1),Buchungen!$A$5:$A$1004,"&lt;"&amp;DATE(Start!$C$6,E$3+1,1)))</f>
        <v>0</v>
      </c>
      <c r="F30" s="39" t="n">
        <f aca="false">IF($A30="",0,SUMIFS(Buchungen!$D$5:$D$1004,Buchungen!$B$5:$B$1004,$A30,Buchungen!$A$5:$A$1004,"&gt;="&amp;DATE(Start!$C$6,F$3,1),Buchungen!$A$5:$A$1004,"&lt;"&amp;DATE(Start!$C$6,F$3+1,1)))</f>
        <v>0</v>
      </c>
      <c r="G30" s="39" t="n">
        <f aca="false">IF($A30="",0,SUMIFS(Buchungen!$D$5:$D$1004,Buchungen!$B$5:$B$1004,$A30,Buchungen!$A$5:$A$1004,"&gt;="&amp;DATE(Start!$C$6,G$3,1),Buchungen!$A$5:$A$1004,"&lt;"&amp;DATE(Start!$C$6,G$3+1,1)))</f>
        <v>0</v>
      </c>
      <c r="H30" s="39" t="n">
        <f aca="false">IF($A30="",0,SUMIFS(Buchungen!$D$5:$D$1004,Buchungen!$B$5:$B$1004,$A30,Buchungen!$A$5:$A$1004,"&gt;="&amp;DATE(Start!$C$6,H$3,1),Buchungen!$A$5:$A$1004,"&lt;"&amp;DATE(Start!$C$6,H$3+1,1)))</f>
        <v>0</v>
      </c>
      <c r="I30" s="39" t="n">
        <f aca="false">IF($A30="",0,SUMIFS(Buchungen!$D$5:$D$1004,Buchungen!$B$5:$B$1004,$A30,Buchungen!$A$5:$A$1004,"&gt;="&amp;DATE(Start!$C$6,I$3,1),Buchungen!$A$5:$A$1004,"&lt;"&amp;DATE(Start!$C$6,I$3+1,1)))</f>
        <v>0</v>
      </c>
      <c r="J30" s="39" t="n">
        <f aca="false">IF($A30="",0,SUMIFS(Buchungen!$D$5:$D$1004,Buchungen!$B$5:$B$1004,$A30,Buchungen!$A$5:$A$1004,"&gt;="&amp;DATE(Start!$C$6,J$3,1),Buchungen!$A$5:$A$1004,"&lt;"&amp;DATE(Start!$C$6,J$3+1,1)))</f>
        <v>0</v>
      </c>
      <c r="K30" s="39" t="n">
        <f aca="false">IF($A30="",0,SUMIFS(Buchungen!$D$5:$D$1004,Buchungen!$B$5:$B$1004,$A30,Buchungen!$A$5:$A$1004,"&gt;="&amp;DATE(Start!$C$6,K$3,1),Buchungen!$A$5:$A$1004,"&lt;"&amp;DATE(Start!$C$6,K$3+1,1)))</f>
        <v>0</v>
      </c>
      <c r="L30" s="39" t="n">
        <f aca="false">IF($A30="",0,SUMIFS(Buchungen!$D$5:$D$1004,Buchungen!$B$5:$B$1004,$A30,Buchungen!$A$5:$A$1004,"&gt;="&amp;DATE(Start!$C$6,L$3,1),Buchungen!$A$5:$A$1004,"&lt;"&amp;DATE(Start!$C$6,L$3+1,1)))</f>
        <v>0</v>
      </c>
      <c r="M30" s="39" t="n">
        <f aca="false">IF($A30="",0,SUMIFS(Buchungen!$D$5:$D$1004,Buchungen!$B$5:$B$1004,$A30,Buchungen!$A$5:$A$1004,"&gt;="&amp;DATE(Start!$C$6,M$3,1),Buchungen!$A$5:$A$1004,"&lt;"&amp;DATE(Start!$C$6,M$3+1,1)))</f>
        <v>0</v>
      </c>
      <c r="N30" s="39" t="n">
        <f aca="false">IF($A30="",0,SUMIFS(Buchungen!$D$5:$D$1004,Buchungen!$B$5:$B$1004,$A30,Buchungen!$A$5:$A$1004,"&gt;="&amp;DATE(Start!$C$6,N$3,1),Buchungen!$A$5:$A$1004,"&lt;"&amp;DATE(Start!$C$6,N$3+1,1)))</f>
        <v>0</v>
      </c>
      <c r="O30" s="40" t="n">
        <f aca="false">SUM(C30:N30)</f>
        <v>0</v>
      </c>
      <c r="P30" s="39" t="str">
        <f aca="false">IF($A30="","",O30/MAX(1,$B$48))</f>
        <v/>
      </c>
      <c r="Q30" s="39" t="str">
        <f aca="false">IF(OR($A30="",$B30=0),"",B30*$B$48)</f>
        <v/>
      </c>
      <c r="R30" s="39" t="str">
        <f aca="false">IF(OR($A30="",$B30=0),"",Q30-O30)</f>
        <v/>
      </c>
      <c r="S30" s="1" t="n">
        <f aca="false">IF($A30="",-1,O30+(100-ROW())/1000000)</f>
        <v>-1</v>
      </c>
    </row>
    <row r="31" customFormat="false" ht="15" hidden="false" customHeight="false" outlineLevel="0" collapsed="false">
      <c r="A31" s="10" t="str">
        <f aca="false">IF(Kategorien!A27="","",Kategorien!A27)</f>
        <v/>
      </c>
      <c r="B31" s="39" t="n">
        <f aca="false">IF($A31="",0,N(Kategorien!C27))</f>
        <v>0</v>
      </c>
      <c r="C31" s="39" t="n">
        <f aca="false">IF($A31="",0,SUMIFS(Buchungen!$D$5:$D$1004,Buchungen!$B$5:$B$1004,$A31,Buchungen!$A$5:$A$1004,"&gt;="&amp;DATE(Start!$C$6,C$3,1),Buchungen!$A$5:$A$1004,"&lt;"&amp;DATE(Start!$C$6,C$3+1,1)))</f>
        <v>0</v>
      </c>
      <c r="D31" s="39" t="n">
        <f aca="false">IF($A31="",0,SUMIFS(Buchungen!$D$5:$D$1004,Buchungen!$B$5:$B$1004,$A31,Buchungen!$A$5:$A$1004,"&gt;="&amp;DATE(Start!$C$6,D$3,1),Buchungen!$A$5:$A$1004,"&lt;"&amp;DATE(Start!$C$6,D$3+1,1)))</f>
        <v>0</v>
      </c>
      <c r="E31" s="39" t="n">
        <f aca="false">IF($A31="",0,SUMIFS(Buchungen!$D$5:$D$1004,Buchungen!$B$5:$B$1004,$A31,Buchungen!$A$5:$A$1004,"&gt;="&amp;DATE(Start!$C$6,E$3,1),Buchungen!$A$5:$A$1004,"&lt;"&amp;DATE(Start!$C$6,E$3+1,1)))</f>
        <v>0</v>
      </c>
      <c r="F31" s="39" t="n">
        <f aca="false">IF($A31="",0,SUMIFS(Buchungen!$D$5:$D$1004,Buchungen!$B$5:$B$1004,$A31,Buchungen!$A$5:$A$1004,"&gt;="&amp;DATE(Start!$C$6,F$3,1),Buchungen!$A$5:$A$1004,"&lt;"&amp;DATE(Start!$C$6,F$3+1,1)))</f>
        <v>0</v>
      </c>
      <c r="G31" s="39" t="n">
        <f aca="false">IF($A31="",0,SUMIFS(Buchungen!$D$5:$D$1004,Buchungen!$B$5:$B$1004,$A31,Buchungen!$A$5:$A$1004,"&gt;="&amp;DATE(Start!$C$6,G$3,1),Buchungen!$A$5:$A$1004,"&lt;"&amp;DATE(Start!$C$6,G$3+1,1)))</f>
        <v>0</v>
      </c>
      <c r="H31" s="39" t="n">
        <f aca="false">IF($A31="",0,SUMIFS(Buchungen!$D$5:$D$1004,Buchungen!$B$5:$B$1004,$A31,Buchungen!$A$5:$A$1004,"&gt;="&amp;DATE(Start!$C$6,H$3,1),Buchungen!$A$5:$A$1004,"&lt;"&amp;DATE(Start!$C$6,H$3+1,1)))</f>
        <v>0</v>
      </c>
      <c r="I31" s="39" t="n">
        <f aca="false">IF($A31="",0,SUMIFS(Buchungen!$D$5:$D$1004,Buchungen!$B$5:$B$1004,$A31,Buchungen!$A$5:$A$1004,"&gt;="&amp;DATE(Start!$C$6,I$3,1),Buchungen!$A$5:$A$1004,"&lt;"&amp;DATE(Start!$C$6,I$3+1,1)))</f>
        <v>0</v>
      </c>
      <c r="J31" s="39" t="n">
        <f aca="false">IF($A31="",0,SUMIFS(Buchungen!$D$5:$D$1004,Buchungen!$B$5:$B$1004,$A31,Buchungen!$A$5:$A$1004,"&gt;="&amp;DATE(Start!$C$6,J$3,1),Buchungen!$A$5:$A$1004,"&lt;"&amp;DATE(Start!$C$6,J$3+1,1)))</f>
        <v>0</v>
      </c>
      <c r="K31" s="39" t="n">
        <f aca="false">IF($A31="",0,SUMIFS(Buchungen!$D$5:$D$1004,Buchungen!$B$5:$B$1004,$A31,Buchungen!$A$5:$A$1004,"&gt;="&amp;DATE(Start!$C$6,K$3,1),Buchungen!$A$5:$A$1004,"&lt;"&amp;DATE(Start!$C$6,K$3+1,1)))</f>
        <v>0</v>
      </c>
      <c r="L31" s="39" t="n">
        <f aca="false">IF($A31="",0,SUMIFS(Buchungen!$D$5:$D$1004,Buchungen!$B$5:$B$1004,$A31,Buchungen!$A$5:$A$1004,"&gt;="&amp;DATE(Start!$C$6,L$3,1),Buchungen!$A$5:$A$1004,"&lt;"&amp;DATE(Start!$C$6,L$3+1,1)))</f>
        <v>0</v>
      </c>
      <c r="M31" s="39" t="n">
        <f aca="false">IF($A31="",0,SUMIFS(Buchungen!$D$5:$D$1004,Buchungen!$B$5:$B$1004,$A31,Buchungen!$A$5:$A$1004,"&gt;="&amp;DATE(Start!$C$6,M$3,1),Buchungen!$A$5:$A$1004,"&lt;"&amp;DATE(Start!$C$6,M$3+1,1)))</f>
        <v>0</v>
      </c>
      <c r="N31" s="39" t="n">
        <f aca="false">IF($A31="",0,SUMIFS(Buchungen!$D$5:$D$1004,Buchungen!$B$5:$B$1004,$A31,Buchungen!$A$5:$A$1004,"&gt;="&amp;DATE(Start!$C$6,N$3,1),Buchungen!$A$5:$A$1004,"&lt;"&amp;DATE(Start!$C$6,N$3+1,1)))</f>
        <v>0</v>
      </c>
      <c r="O31" s="40" t="n">
        <f aca="false">SUM(C31:N31)</f>
        <v>0</v>
      </c>
      <c r="P31" s="39" t="str">
        <f aca="false">IF($A31="","",O31/MAX(1,$B$48))</f>
        <v/>
      </c>
      <c r="Q31" s="39" t="str">
        <f aca="false">IF(OR($A31="",$B31=0),"",B31*$B$48)</f>
        <v/>
      </c>
      <c r="R31" s="39" t="str">
        <f aca="false">IF(OR($A31="",$B31=0),"",Q31-O31)</f>
        <v/>
      </c>
      <c r="S31" s="1" t="n">
        <f aca="false">IF($A31="",-1,O31+(100-ROW())/1000000)</f>
        <v>-1</v>
      </c>
    </row>
    <row r="32" customFormat="false" ht="15" hidden="false" customHeight="false" outlineLevel="0" collapsed="false">
      <c r="A32" s="10" t="str">
        <f aca="false">IF(Kategorien!A28="","",Kategorien!A28)</f>
        <v/>
      </c>
      <c r="B32" s="39" t="n">
        <f aca="false">IF($A32="",0,N(Kategorien!C28))</f>
        <v>0</v>
      </c>
      <c r="C32" s="39" t="n">
        <f aca="false">IF($A32="",0,SUMIFS(Buchungen!$D$5:$D$1004,Buchungen!$B$5:$B$1004,$A32,Buchungen!$A$5:$A$1004,"&gt;="&amp;DATE(Start!$C$6,C$3,1),Buchungen!$A$5:$A$1004,"&lt;"&amp;DATE(Start!$C$6,C$3+1,1)))</f>
        <v>0</v>
      </c>
      <c r="D32" s="39" t="n">
        <f aca="false">IF($A32="",0,SUMIFS(Buchungen!$D$5:$D$1004,Buchungen!$B$5:$B$1004,$A32,Buchungen!$A$5:$A$1004,"&gt;="&amp;DATE(Start!$C$6,D$3,1),Buchungen!$A$5:$A$1004,"&lt;"&amp;DATE(Start!$C$6,D$3+1,1)))</f>
        <v>0</v>
      </c>
      <c r="E32" s="39" t="n">
        <f aca="false">IF($A32="",0,SUMIFS(Buchungen!$D$5:$D$1004,Buchungen!$B$5:$B$1004,$A32,Buchungen!$A$5:$A$1004,"&gt;="&amp;DATE(Start!$C$6,E$3,1),Buchungen!$A$5:$A$1004,"&lt;"&amp;DATE(Start!$C$6,E$3+1,1)))</f>
        <v>0</v>
      </c>
      <c r="F32" s="39" t="n">
        <f aca="false">IF($A32="",0,SUMIFS(Buchungen!$D$5:$D$1004,Buchungen!$B$5:$B$1004,$A32,Buchungen!$A$5:$A$1004,"&gt;="&amp;DATE(Start!$C$6,F$3,1),Buchungen!$A$5:$A$1004,"&lt;"&amp;DATE(Start!$C$6,F$3+1,1)))</f>
        <v>0</v>
      </c>
      <c r="G32" s="39" t="n">
        <f aca="false">IF($A32="",0,SUMIFS(Buchungen!$D$5:$D$1004,Buchungen!$B$5:$B$1004,$A32,Buchungen!$A$5:$A$1004,"&gt;="&amp;DATE(Start!$C$6,G$3,1),Buchungen!$A$5:$A$1004,"&lt;"&amp;DATE(Start!$C$6,G$3+1,1)))</f>
        <v>0</v>
      </c>
      <c r="H32" s="39" t="n">
        <f aca="false">IF($A32="",0,SUMIFS(Buchungen!$D$5:$D$1004,Buchungen!$B$5:$B$1004,$A32,Buchungen!$A$5:$A$1004,"&gt;="&amp;DATE(Start!$C$6,H$3,1),Buchungen!$A$5:$A$1004,"&lt;"&amp;DATE(Start!$C$6,H$3+1,1)))</f>
        <v>0</v>
      </c>
      <c r="I32" s="39" t="n">
        <f aca="false">IF($A32="",0,SUMIFS(Buchungen!$D$5:$D$1004,Buchungen!$B$5:$B$1004,$A32,Buchungen!$A$5:$A$1004,"&gt;="&amp;DATE(Start!$C$6,I$3,1),Buchungen!$A$5:$A$1004,"&lt;"&amp;DATE(Start!$C$6,I$3+1,1)))</f>
        <v>0</v>
      </c>
      <c r="J32" s="39" t="n">
        <f aca="false">IF($A32="",0,SUMIFS(Buchungen!$D$5:$D$1004,Buchungen!$B$5:$B$1004,$A32,Buchungen!$A$5:$A$1004,"&gt;="&amp;DATE(Start!$C$6,J$3,1),Buchungen!$A$5:$A$1004,"&lt;"&amp;DATE(Start!$C$6,J$3+1,1)))</f>
        <v>0</v>
      </c>
      <c r="K32" s="39" t="n">
        <f aca="false">IF($A32="",0,SUMIFS(Buchungen!$D$5:$D$1004,Buchungen!$B$5:$B$1004,$A32,Buchungen!$A$5:$A$1004,"&gt;="&amp;DATE(Start!$C$6,K$3,1),Buchungen!$A$5:$A$1004,"&lt;"&amp;DATE(Start!$C$6,K$3+1,1)))</f>
        <v>0</v>
      </c>
      <c r="L32" s="39" t="n">
        <f aca="false">IF($A32="",0,SUMIFS(Buchungen!$D$5:$D$1004,Buchungen!$B$5:$B$1004,$A32,Buchungen!$A$5:$A$1004,"&gt;="&amp;DATE(Start!$C$6,L$3,1),Buchungen!$A$5:$A$1004,"&lt;"&amp;DATE(Start!$C$6,L$3+1,1)))</f>
        <v>0</v>
      </c>
      <c r="M32" s="39" t="n">
        <f aca="false">IF($A32="",0,SUMIFS(Buchungen!$D$5:$D$1004,Buchungen!$B$5:$B$1004,$A32,Buchungen!$A$5:$A$1004,"&gt;="&amp;DATE(Start!$C$6,M$3,1),Buchungen!$A$5:$A$1004,"&lt;"&amp;DATE(Start!$C$6,M$3+1,1)))</f>
        <v>0</v>
      </c>
      <c r="N32" s="39" t="n">
        <f aca="false">IF($A32="",0,SUMIFS(Buchungen!$D$5:$D$1004,Buchungen!$B$5:$B$1004,$A32,Buchungen!$A$5:$A$1004,"&gt;="&amp;DATE(Start!$C$6,N$3,1),Buchungen!$A$5:$A$1004,"&lt;"&amp;DATE(Start!$C$6,N$3+1,1)))</f>
        <v>0</v>
      </c>
      <c r="O32" s="40" t="n">
        <f aca="false">SUM(C32:N32)</f>
        <v>0</v>
      </c>
      <c r="P32" s="39" t="str">
        <f aca="false">IF($A32="","",O32/MAX(1,$B$48))</f>
        <v/>
      </c>
      <c r="Q32" s="39" t="str">
        <f aca="false">IF(OR($A32="",$B32=0),"",B32*$B$48)</f>
        <v/>
      </c>
      <c r="R32" s="39" t="str">
        <f aca="false">IF(OR($A32="",$B32=0),"",Q32-O32)</f>
        <v/>
      </c>
      <c r="S32" s="1" t="n">
        <f aca="false">IF($A32="",-1,O32+(100-ROW())/1000000)</f>
        <v>-1</v>
      </c>
    </row>
    <row r="33" customFormat="false" ht="15" hidden="false" customHeight="false" outlineLevel="0" collapsed="false">
      <c r="A33" s="10" t="str">
        <f aca="false">IF(Kategorien!A29="","",Kategorien!A29)</f>
        <v/>
      </c>
      <c r="B33" s="39" t="n">
        <f aca="false">IF($A33="",0,N(Kategorien!C29))</f>
        <v>0</v>
      </c>
      <c r="C33" s="39" t="n">
        <f aca="false">IF($A33="",0,SUMIFS(Buchungen!$D$5:$D$1004,Buchungen!$B$5:$B$1004,$A33,Buchungen!$A$5:$A$1004,"&gt;="&amp;DATE(Start!$C$6,C$3,1),Buchungen!$A$5:$A$1004,"&lt;"&amp;DATE(Start!$C$6,C$3+1,1)))</f>
        <v>0</v>
      </c>
      <c r="D33" s="39" t="n">
        <f aca="false">IF($A33="",0,SUMIFS(Buchungen!$D$5:$D$1004,Buchungen!$B$5:$B$1004,$A33,Buchungen!$A$5:$A$1004,"&gt;="&amp;DATE(Start!$C$6,D$3,1),Buchungen!$A$5:$A$1004,"&lt;"&amp;DATE(Start!$C$6,D$3+1,1)))</f>
        <v>0</v>
      </c>
      <c r="E33" s="39" t="n">
        <f aca="false">IF($A33="",0,SUMIFS(Buchungen!$D$5:$D$1004,Buchungen!$B$5:$B$1004,$A33,Buchungen!$A$5:$A$1004,"&gt;="&amp;DATE(Start!$C$6,E$3,1),Buchungen!$A$5:$A$1004,"&lt;"&amp;DATE(Start!$C$6,E$3+1,1)))</f>
        <v>0</v>
      </c>
      <c r="F33" s="39" t="n">
        <f aca="false">IF($A33="",0,SUMIFS(Buchungen!$D$5:$D$1004,Buchungen!$B$5:$B$1004,$A33,Buchungen!$A$5:$A$1004,"&gt;="&amp;DATE(Start!$C$6,F$3,1),Buchungen!$A$5:$A$1004,"&lt;"&amp;DATE(Start!$C$6,F$3+1,1)))</f>
        <v>0</v>
      </c>
      <c r="G33" s="39" t="n">
        <f aca="false">IF($A33="",0,SUMIFS(Buchungen!$D$5:$D$1004,Buchungen!$B$5:$B$1004,$A33,Buchungen!$A$5:$A$1004,"&gt;="&amp;DATE(Start!$C$6,G$3,1),Buchungen!$A$5:$A$1004,"&lt;"&amp;DATE(Start!$C$6,G$3+1,1)))</f>
        <v>0</v>
      </c>
      <c r="H33" s="39" t="n">
        <f aca="false">IF($A33="",0,SUMIFS(Buchungen!$D$5:$D$1004,Buchungen!$B$5:$B$1004,$A33,Buchungen!$A$5:$A$1004,"&gt;="&amp;DATE(Start!$C$6,H$3,1),Buchungen!$A$5:$A$1004,"&lt;"&amp;DATE(Start!$C$6,H$3+1,1)))</f>
        <v>0</v>
      </c>
      <c r="I33" s="39" t="n">
        <f aca="false">IF($A33="",0,SUMIFS(Buchungen!$D$5:$D$1004,Buchungen!$B$5:$B$1004,$A33,Buchungen!$A$5:$A$1004,"&gt;="&amp;DATE(Start!$C$6,I$3,1),Buchungen!$A$5:$A$1004,"&lt;"&amp;DATE(Start!$C$6,I$3+1,1)))</f>
        <v>0</v>
      </c>
      <c r="J33" s="39" t="n">
        <f aca="false">IF($A33="",0,SUMIFS(Buchungen!$D$5:$D$1004,Buchungen!$B$5:$B$1004,$A33,Buchungen!$A$5:$A$1004,"&gt;="&amp;DATE(Start!$C$6,J$3,1),Buchungen!$A$5:$A$1004,"&lt;"&amp;DATE(Start!$C$6,J$3+1,1)))</f>
        <v>0</v>
      </c>
      <c r="K33" s="39" t="n">
        <f aca="false">IF($A33="",0,SUMIFS(Buchungen!$D$5:$D$1004,Buchungen!$B$5:$B$1004,$A33,Buchungen!$A$5:$A$1004,"&gt;="&amp;DATE(Start!$C$6,K$3,1),Buchungen!$A$5:$A$1004,"&lt;"&amp;DATE(Start!$C$6,K$3+1,1)))</f>
        <v>0</v>
      </c>
      <c r="L33" s="39" t="n">
        <f aca="false">IF($A33="",0,SUMIFS(Buchungen!$D$5:$D$1004,Buchungen!$B$5:$B$1004,$A33,Buchungen!$A$5:$A$1004,"&gt;="&amp;DATE(Start!$C$6,L$3,1),Buchungen!$A$5:$A$1004,"&lt;"&amp;DATE(Start!$C$6,L$3+1,1)))</f>
        <v>0</v>
      </c>
      <c r="M33" s="39" t="n">
        <f aca="false">IF($A33="",0,SUMIFS(Buchungen!$D$5:$D$1004,Buchungen!$B$5:$B$1004,$A33,Buchungen!$A$5:$A$1004,"&gt;="&amp;DATE(Start!$C$6,M$3,1),Buchungen!$A$5:$A$1004,"&lt;"&amp;DATE(Start!$C$6,M$3+1,1)))</f>
        <v>0</v>
      </c>
      <c r="N33" s="39" t="n">
        <f aca="false">IF($A33="",0,SUMIFS(Buchungen!$D$5:$D$1004,Buchungen!$B$5:$B$1004,$A33,Buchungen!$A$5:$A$1004,"&gt;="&amp;DATE(Start!$C$6,N$3,1),Buchungen!$A$5:$A$1004,"&lt;"&amp;DATE(Start!$C$6,N$3+1,1)))</f>
        <v>0</v>
      </c>
      <c r="O33" s="40" t="n">
        <f aca="false">SUM(C33:N33)</f>
        <v>0</v>
      </c>
      <c r="P33" s="39" t="str">
        <f aca="false">IF($A33="","",O33/MAX(1,$B$48))</f>
        <v/>
      </c>
      <c r="Q33" s="39" t="str">
        <f aca="false">IF(OR($A33="",$B33=0),"",B33*$B$48)</f>
        <v/>
      </c>
      <c r="R33" s="39" t="str">
        <f aca="false">IF(OR($A33="",$B33=0),"",Q33-O33)</f>
        <v/>
      </c>
      <c r="S33" s="1" t="n">
        <f aca="false">IF($A33="",-1,O33+(100-ROW())/1000000)</f>
        <v>-1</v>
      </c>
    </row>
    <row r="34" customFormat="false" ht="15" hidden="false" customHeight="false" outlineLevel="0" collapsed="false">
      <c r="A34" s="10" t="str">
        <f aca="false">IF(Kategorien!A30="","",Kategorien!A30)</f>
        <v/>
      </c>
      <c r="B34" s="39" t="n">
        <f aca="false">IF($A34="",0,N(Kategorien!C30))</f>
        <v>0</v>
      </c>
      <c r="C34" s="39" t="n">
        <f aca="false">IF($A34="",0,SUMIFS(Buchungen!$D$5:$D$1004,Buchungen!$B$5:$B$1004,$A34,Buchungen!$A$5:$A$1004,"&gt;="&amp;DATE(Start!$C$6,C$3,1),Buchungen!$A$5:$A$1004,"&lt;"&amp;DATE(Start!$C$6,C$3+1,1)))</f>
        <v>0</v>
      </c>
      <c r="D34" s="39" t="n">
        <f aca="false">IF($A34="",0,SUMIFS(Buchungen!$D$5:$D$1004,Buchungen!$B$5:$B$1004,$A34,Buchungen!$A$5:$A$1004,"&gt;="&amp;DATE(Start!$C$6,D$3,1),Buchungen!$A$5:$A$1004,"&lt;"&amp;DATE(Start!$C$6,D$3+1,1)))</f>
        <v>0</v>
      </c>
      <c r="E34" s="39" t="n">
        <f aca="false">IF($A34="",0,SUMIFS(Buchungen!$D$5:$D$1004,Buchungen!$B$5:$B$1004,$A34,Buchungen!$A$5:$A$1004,"&gt;="&amp;DATE(Start!$C$6,E$3,1),Buchungen!$A$5:$A$1004,"&lt;"&amp;DATE(Start!$C$6,E$3+1,1)))</f>
        <v>0</v>
      </c>
      <c r="F34" s="39" t="n">
        <f aca="false">IF($A34="",0,SUMIFS(Buchungen!$D$5:$D$1004,Buchungen!$B$5:$B$1004,$A34,Buchungen!$A$5:$A$1004,"&gt;="&amp;DATE(Start!$C$6,F$3,1),Buchungen!$A$5:$A$1004,"&lt;"&amp;DATE(Start!$C$6,F$3+1,1)))</f>
        <v>0</v>
      </c>
      <c r="G34" s="39" t="n">
        <f aca="false">IF($A34="",0,SUMIFS(Buchungen!$D$5:$D$1004,Buchungen!$B$5:$B$1004,$A34,Buchungen!$A$5:$A$1004,"&gt;="&amp;DATE(Start!$C$6,G$3,1),Buchungen!$A$5:$A$1004,"&lt;"&amp;DATE(Start!$C$6,G$3+1,1)))</f>
        <v>0</v>
      </c>
      <c r="H34" s="39" t="n">
        <f aca="false">IF($A34="",0,SUMIFS(Buchungen!$D$5:$D$1004,Buchungen!$B$5:$B$1004,$A34,Buchungen!$A$5:$A$1004,"&gt;="&amp;DATE(Start!$C$6,H$3,1),Buchungen!$A$5:$A$1004,"&lt;"&amp;DATE(Start!$C$6,H$3+1,1)))</f>
        <v>0</v>
      </c>
      <c r="I34" s="39" t="n">
        <f aca="false">IF($A34="",0,SUMIFS(Buchungen!$D$5:$D$1004,Buchungen!$B$5:$B$1004,$A34,Buchungen!$A$5:$A$1004,"&gt;="&amp;DATE(Start!$C$6,I$3,1),Buchungen!$A$5:$A$1004,"&lt;"&amp;DATE(Start!$C$6,I$3+1,1)))</f>
        <v>0</v>
      </c>
      <c r="J34" s="39" t="n">
        <f aca="false">IF($A34="",0,SUMIFS(Buchungen!$D$5:$D$1004,Buchungen!$B$5:$B$1004,$A34,Buchungen!$A$5:$A$1004,"&gt;="&amp;DATE(Start!$C$6,J$3,1),Buchungen!$A$5:$A$1004,"&lt;"&amp;DATE(Start!$C$6,J$3+1,1)))</f>
        <v>0</v>
      </c>
      <c r="K34" s="39" t="n">
        <f aca="false">IF($A34="",0,SUMIFS(Buchungen!$D$5:$D$1004,Buchungen!$B$5:$B$1004,$A34,Buchungen!$A$5:$A$1004,"&gt;="&amp;DATE(Start!$C$6,K$3,1),Buchungen!$A$5:$A$1004,"&lt;"&amp;DATE(Start!$C$6,K$3+1,1)))</f>
        <v>0</v>
      </c>
      <c r="L34" s="39" t="n">
        <f aca="false">IF($A34="",0,SUMIFS(Buchungen!$D$5:$D$1004,Buchungen!$B$5:$B$1004,$A34,Buchungen!$A$5:$A$1004,"&gt;="&amp;DATE(Start!$C$6,L$3,1),Buchungen!$A$5:$A$1004,"&lt;"&amp;DATE(Start!$C$6,L$3+1,1)))</f>
        <v>0</v>
      </c>
      <c r="M34" s="39" t="n">
        <f aca="false">IF($A34="",0,SUMIFS(Buchungen!$D$5:$D$1004,Buchungen!$B$5:$B$1004,$A34,Buchungen!$A$5:$A$1004,"&gt;="&amp;DATE(Start!$C$6,M$3,1),Buchungen!$A$5:$A$1004,"&lt;"&amp;DATE(Start!$C$6,M$3+1,1)))</f>
        <v>0</v>
      </c>
      <c r="N34" s="39" t="n">
        <f aca="false">IF($A34="",0,SUMIFS(Buchungen!$D$5:$D$1004,Buchungen!$B$5:$B$1004,$A34,Buchungen!$A$5:$A$1004,"&gt;="&amp;DATE(Start!$C$6,N$3,1),Buchungen!$A$5:$A$1004,"&lt;"&amp;DATE(Start!$C$6,N$3+1,1)))</f>
        <v>0</v>
      </c>
      <c r="O34" s="40" t="n">
        <f aca="false">SUM(C34:N34)</f>
        <v>0</v>
      </c>
      <c r="P34" s="39" t="str">
        <f aca="false">IF($A34="","",O34/MAX(1,$B$48))</f>
        <v/>
      </c>
      <c r="Q34" s="39" t="str">
        <f aca="false">IF(OR($A34="",$B34=0),"",B34*$B$48)</f>
        <v/>
      </c>
      <c r="R34" s="39" t="str">
        <f aca="false">IF(OR($A34="",$B34=0),"",Q34-O34)</f>
        <v/>
      </c>
      <c r="S34" s="1" t="n">
        <f aca="false">IF($A34="",-1,O34+(100-ROW())/1000000)</f>
        <v>-1</v>
      </c>
    </row>
    <row r="35" customFormat="false" ht="15" hidden="false" customHeight="false" outlineLevel="0" collapsed="false">
      <c r="A35" s="10" t="str">
        <f aca="false">IF(Kategorien!A31="","",Kategorien!A31)</f>
        <v/>
      </c>
      <c r="B35" s="39" t="n">
        <f aca="false">IF($A35="",0,N(Kategorien!C31))</f>
        <v>0</v>
      </c>
      <c r="C35" s="39" t="n">
        <f aca="false">IF($A35="",0,SUMIFS(Buchungen!$D$5:$D$1004,Buchungen!$B$5:$B$1004,$A35,Buchungen!$A$5:$A$1004,"&gt;="&amp;DATE(Start!$C$6,C$3,1),Buchungen!$A$5:$A$1004,"&lt;"&amp;DATE(Start!$C$6,C$3+1,1)))</f>
        <v>0</v>
      </c>
      <c r="D35" s="39" t="n">
        <f aca="false">IF($A35="",0,SUMIFS(Buchungen!$D$5:$D$1004,Buchungen!$B$5:$B$1004,$A35,Buchungen!$A$5:$A$1004,"&gt;="&amp;DATE(Start!$C$6,D$3,1),Buchungen!$A$5:$A$1004,"&lt;"&amp;DATE(Start!$C$6,D$3+1,1)))</f>
        <v>0</v>
      </c>
      <c r="E35" s="39" t="n">
        <f aca="false">IF($A35="",0,SUMIFS(Buchungen!$D$5:$D$1004,Buchungen!$B$5:$B$1004,$A35,Buchungen!$A$5:$A$1004,"&gt;="&amp;DATE(Start!$C$6,E$3,1),Buchungen!$A$5:$A$1004,"&lt;"&amp;DATE(Start!$C$6,E$3+1,1)))</f>
        <v>0</v>
      </c>
      <c r="F35" s="39" t="n">
        <f aca="false">IF($A35="",0,SUMIFS(Buchungen!$D$5:$D$1004,Buchungen!$B$5:$B$1004,$A35,Buchungen!$A$5:$A$1004,"&gt;="&amp;DATE(Start!$C$6,F$3,1),Buchungen!$A$5:$A$1004,"&lt;"&amp;DATE(Start!$C$6,F$3+1,1)))</f>
        <v>0</v>
      </c>
      <c r="G35" s="39" t="n">
        <f aca="false">IF($A35="",0,SUMIFS(Buchungen!$D$5:$D$1004,Buchungen!$B$5:$B$1004,$A35,Buchungen!$A$5:$A$1004,"&gt;="&amp;DATE(Start!$C$6,G$3,1),Buchungen!$A$5:$A$1004,"&lt;"&amp;DATE(Start!$C$6,G$3+1,1)))</f>
        <v>0</v>
      </c>
      <c r="H35" s="39" t="n">
        <f aca="false">IF($A35="",0,SUMIFS(Buchungen!$D$5:$D$1004,Buchungen!$B$5:$B$1004,$A35,Buchungen!$A$5:$A$1004,"&gt;="&amp;DATE(Start!$C$6,H$3,1),Buchungen!$A$5:$A$1004,"&lt;"&amp;DATE(Start!$C$6,H$3+1,1)))</f>
        <v>0</v>
      </c>
      <c r="I35" s="39" t="n">
        <f aca="false">IF($A35="",0,SUMIFS(Buchungen!$D$5:$D$1004,Buchungen!$B$5:$B$1004,$A35,Buchungen!$A$5:$A$1004,"&gt;="&amp;DATE(Start!$C$6,I$3,1),Buchungen!$A$5:$A$1004,"&lt;"&amp;DATE(Start!$C$6,I$3+1,1)))</f>
        <v>0</v>
      </c>
      <c r="J35" s="39" t="n">
        <f aca="false">IF($A35="",0,SUMIFS(Buchungen!$D$5:$D$1004,Buchungen!$B$5:$B$1004,$A35,Buchungen!$A$5:$A$1004,"&gt;="&amp;DATE(Start!$C$6,J$3,1),Buchungen!$A$5:$A$1004,"&lt;"&amp;DATE(Start!$C$6,J$3+1,1)))</f>
        <v>0</v>
      </c>
      <c r="K35" s="39" t="n">
        <f aca="false">IF($A35="",0,SUMIFS(Buchungen!$D$5:$D$1004,Buchungen!$B$5:$B$1004,$A35,Buchungen!$A$5:$A$1004,"&gt;="&amp;DATE(Start!$C$6,K$3,1),Buchungen!$A$5:$A$1004,"&lt;"&amp;DATE(Start!$C$6,K$3+1,1)))</f>
        <v>0</v>
      </c>
      <c r="L35" s="39" t="n">
        <f aca="false">IF($A35="",0,SUMIFS(Buchungen!$D$5:$D$1004,Buchungen!$B$5:$B$1004,$A35,Buchungen!$A$5:$A$1004,"&gt;="&amp;DATE(Start!$C$6,L$3,1),Buchungen!$A$5:$A$1004,"&lt;"&amp;DATE(Start!$C$6,L$3+1,1)))</f>
        <v>0</v>
      </c>
      <c r="M35" s="39" t="n">
        <f aca="false">IF($A35="",0,SUMIFS(Buchungen!$D$5:$D$1004,Buchungen!$B$5:$B$1004,$A35,Buchungen!$A$5:$A$1004,"&gt;="&amp;DATE(Start!$C$6,M$3,1),Buchungen!$A$5:$A$1004,"&lt;"&amp;DATE(Start!$C$6,M$3+1,1)))</f>
        <v>0</v>
      </c>
      <c r="N35" s="39" t="n">
        <f aca="false">IF($A35="",0,SUMIFS(Buchungen!$D$5:$D$1004,Buchungen!$B$5:$B$1004,$A35,Buchungen!$A$5:$A$1004,"&gt;="&amp;DATE(Start!$C$6,N$3,1),Buchungen!$A$5:$A$1004,"&lt;"&amp;DATE(Start!$C$6,N$3+1,1)))</f>
        <v>0</v>
      </c>
      <c r="O35" s="40" t="n">
        <f aca="false">SUM(C35:N35)</f>
        <v>0</v>
      </c>
      <c r="P35" s="39" t="str">
        <f aca="false">IF($A35="","",O35/MAX(1,$B$48))</f>
        <v/>
      </c>
      <c r="Q35" s="39" t="str">
        <f aca="false">IF(OR($A35="",$B35=0),"",B35*$B$48)</f>
        <v/>
      </c>
      <c r="R35" s="39" t="str">
        <f aca="false">IF(OR($A35="",$B35=0),"",Q35-O35)</f>
        <v/>
      </c>
      <c r="S35" s="1" t="n">
        <f aca="false">IF($A35="",-1,O35+(100-ROW())/1000000)</f>
        <v>-1</v>
      </c>
    </row>
    <row r="36" customFormat="false" ht="15" hidden="false" customHeight="false" outlineLevel="0" collapsed="false">
      <c r="A36" s="10" t="str">
        <f aca="false">IF(Kategorien!A32="","",Kategorien!A32)</f>
        <v/>
      </c>
      <c r="B36" s="39" t="n">
        <f aca="false">IF($A36="",0,N(Kategorien!C32))</f>
        <v>0</v>
      </c>
      <c r="C36" s="39" t="n">
        <f aca="false">IF($A36="",0,SUMIFS(Buchungen!$D$5:$D$1004,Buchungen!$B$5:$B$1004,$A36,Buchungen!$A$5:$A$1004,"&gt;="&amp;DATE(Start!$C$6,C$3,1),Buchungen!$A$5:$A$1004,"&lt;"&amp;DATE(Start!$C$6,C$3+1,1)))</f>
        <v>0</v>
      </c>
      <c r="D36" s="39" t="n">
        <f aca="false">IF($A36="",0,SUMIFS(Buchungen!$D$5:$D$1004,Buchungen!$B$5:$B$1004,$A36,Buchungen!$A$5:$A$1004,"&gt;="&amp;DATE(Start!$C$6,D$3,1),Buchungen!$A$5:$A$1004,"&lt;"&amp;DATE(Start!$C$6,D$3+1,1)))</f>
        <v>0</v>
      </c>
      <c r="E36" s="39" t="n">
        <f aca="false">IF($A36="",0,SUMIFS(Buchungen!$D$5:$D$1004,Buchungen!$B$5:$B$1004,$A36,Buchungen!$A$5:$A$1004,"&gt;="&amp;DATE(Start!$C$6,E$3,1),Buchungen!$A$5:$A$1004,"&lt;"&amp;DATE(Start!$C$6,E$3+1,1)))</f>
        <v>0</v>
      </c>
      <c r="F36" s="39" t="n">
        <f aca="false">IF($A36="",0,SUMIFS(Buchungen!$D$5:$D$1004,Buchungen!$B$5:$B$1004,$A36,Buchungen!$A$5:$A$1004,"&gt;="&amp;DATE(Start!$C$6,F$3,1),Buchungen!$A$5:$A$1004,"&lt;"&amp;DATE(Start!$C$6,F$3+1,1)))</f>
        <v>0</v>
      </c>
      <c r="G36" s="39" t="n">
        <f aca="false">IF($A36="",0,SUMIFS(Buchungen!$D$5:$D$1004,Buchungen!$B$5:$B$1004,$A36,Buchungen!$A$5:$A$1004,"&gt;="&amp;DATE(Start!$C$6,G$3,1),Buchungen!$A$5:$A$1004,"&lt;"&amp;DATE(Start!$C$6,G$3+1,1)))</f>
        <v>0</v>
      </c>
      <c r="H36" s="39" t="n">
        <f aca="false">IF($A36="",0,SUMIFS(Buchungen!$D$5:$D$1004,Buchungen!$B$5:$B$1004,$A36,Buchungen!$A$5:$A$1004,"&gt;="&amp;DATE(Start!$C$6,H$3,1),Buchungen!$A$5:$A$1004,"&lt;"&amp;DATE(Start!$C$6,H$3+1,1)))</f>
        <v>0</v>
      </c>
      <c r="I36" s="39" t="n">
        <f aca="false">IF($A36="",0,SUMIFS(Buchungen!$D$5:$D$1004,Buchungen!$B$5:$B$1004,$A36,Buchungen!$A$5:$A$1004,"&gt;="&amp;DATE(Start!$C$6,I$3,1),Buchungen!$A$5:$A$1004,"&lt;"&amp;DATE(Start!$C$6,I$3+1,1)))</f>
        <v>0</v>
      </c>
      <c r="J36" s="39" t="n">
        <f aca="false">IF($A36="",0,SUMIFS(Buchungen!$D$5:$D$1004,Buchungen!$B$5:$B$1004,$A36,Buchungen!$A$5:$A$1004,"&gt;="&amp;DATE(Start!$C$6,J$3,1),Buchungen!$A$5:$A$1004,"&lt;"&amp;DATE(Start!$C$6,J$3+1,1)))</f>
        <v>0</v>
      </c>
      <c r="K36" s="39" t="n">
        <f aca="false">IF($A36="",0,SUMIFS(Buchungen!$D$5:$D$1004,Buchungen!$B$5:$B$1004,$A36,Buchungen!$A$5:$A$1004,"&gt;="&amp;DATE(Start!$C$6,K$3,1),Buchungen!$A$5:$A$1004,"&lt;"&amp;DATE(Start!$C$6,K$3+1,1)))</f>
        <v>0</v>
      </c>
      <c r="L36" s="39" t="n">
        <f aca="false">IF($A36="",0,SUMIFS(Buchungen!$D$5:$D$1004,Buchungen!$B$5:$B$1004,$A36,Buchungen!$A$5:$A$1004,"&gt;="&amp;DATE(Start!$C$6,L$3,1),Buchungen!$A$5:$A$1004,"&lt;"&amp;DATE(Start!$C$6,L$3+1,1)))</f>
        <v>0</v>
      </c>
      <c r="M36" s="39" t="n">
        <f aca="false">IF($A36="",0,SUMIFS(Buchungen!$D$5:$D$1004,Buchungen!$B$5:$B$1004,$A36,Buchungen!$A$5:$A$1004,"&gt;="&amp;DATE(Start!$C$6,M$3,1),Buchungen!$A$5:$A$1004,"&lt;"&amp;DATE(Start!$C$6,M$3+1,1)))</f>
        <v>0</v>
      </c>
      <c r="N36" s="39" t="n">
        <f aca="false">IF($A36="",0,SUMIFS(Buchungen!$D$5:$D$1004,Buchungen!$B$5:$B$1004,$A36,Buchungen!$A$5:$A$1004,"&gt;="&amp;DATE(Start!$C$6,N$3,1),Buchungen!$A$5:$A$1004,"&lt;"&amp;DATE(Start!$C$6,N$3+1,1)))</f>
        <v>0</v>
      </c>
      <c r="O36" s="40" t="n">
        <f aca="false">SUM(C36:N36)</f>
        <v>0</v>
      </c>
      <c r="P36" s="39" t="str">
        <f aca="false">IF($A36="","",O36/MAX(1,$B$48))</f>
        <v/>
      </c>
      <c r="Q36" s="39" t="str">
        <f aca="false">IF(OR($A36="",$B36=0),"",B36*$B$48)</f>
        <v/>
      </c>
      <c r="R36" s="39" t="str">
        <f aca="false">IF(OR($A36="",$B36=0),"",Q36-O36)</f>
        <v/>
      </c>
      <c r="S36" s="1" t="n">
        <f aca="false">IF($A36="",-1,O36+(100-ROW())/1000000)</f>
        <v>-1</v>
      </c>
    </row>
    <row r="37" customFormat="false" ht="15" hidden="false" customHeight="false" outlineLevel="0" collapsed="false">
      <c r="A37" s="10" t="str">
        <f aca="false">IF(Kategorien!A33="","",Kategorien!A33)</f>
        <v/>
      </c>
      <c r="B37" s="39" t="n">
        <f aca="false">IF($A37="",0,N(Kategorien!C33))</f>
        <v>0</v>
      </c>
      <c r="C37" s="39" t="n">
        <f aca="false">IF($A37="",0,SUMIFS(Buchungen!$D$5:$D$1004,Buchungen!$B$5:$B$1004,$A37,Buchungen!$A$5:$A$1004,"&gt;="&amp;DATE(Start!$C$6,C$3,1),Buchungen!$A$5:$A$1004,"&lt;"&amp;DATE(Start!$C$6,C$3+1,1)))</f>
        <v>0</v>
      </c>
      <c r="D37" s="39" t="n">
        <f aca="false">IF($A37="",0,SUMIFS(Buchungen!$D$5:$D$1004,Buchungen!$B$5:$B$1004,$A37,Buchungen!$A$5:$A$1004,"&gt;="&amp;DATE(Start!$C$6,D$3,1),Buchungen!$A$5:$A$1004,"&lt;"&amp;DATE(Start!$C$6,D$3+1,1)))</f>
        <v>0</v>
      </c>
      <c r="E37" s="39" t="n">
        <f aca="false">IF($A37="",0,SUMIFS(Buchungen!$D$5:$D$1004,Buchungen!$B$5:$B$1004,$A37,Buchungen!$A$5:$A$1004,"&gt;="&amp;DATE(Start!$C$6,E$3,1),Buchungen!$A$5:$A$1004,"&lt;"&amp;DATE(Start!$C$6,E$3+1,1)))</f>
        <v>0</v>
      </c>
      <c r="F37" s="39" t="n">
        <f aca="false">IF($A37="",0,SUMIFS(Buchungen!$D$5:$D$1004,Buchungen!$B$5:$B$1004,$A37,Buchungen!$A$5:$A$1004,"&gt;="&amp;DATE(Start!$C$6,F$3,1),Buchungen!$A$5:$A$1004,"&lt;"&amp;DATE(Start!$C$6,F$3+1,1)))</f>
        <v>0</v>
      </c>
      <c r="G37" s="39" t="n">
        <f aca="false">IF($A37="",0,SUMIFS(Buchungen!$D$5:$D$1004,Buchungen!$B$5:$B$1004,$A37,Buchungen!$A$5:$A$1004,"&gt;="&amp;DATE(Start!$C$6,G$3,1),Buchungen!$A$5:$A$1004,"&lt;"&amp;DATE(Start!$C$6,G$3+1,1)))</f>
        <v>0</v>
      </c>
      <c r="H37" s="39" t="n">
        <f aca="false">IF($A37="",0,SUMIFS(Buchungen!$D$5:$D$1004,Buchungen!$B$5:$B$1004,$A37,Buchungen!$A$5:$A$1004,"&gt;="&amp;DATE(Start!$C$6,H$3,1),Buchungen!$A$5:$A$1004,"&lt;"&amp;DATE(Start!$C$6,H$3+1,1)))</f>
        <v>0</v>
      </c>
      <c r="I37" s="39" t="n">
        <f aca="false">IF($A37="",0,SUMIFS(Buchungen!$D$5:$D$1004,Buchungen!$B$5:$B$1004,$A37,Buchungen!$A$5:$A$1004,"&gt;="&amp;DATE(Start!$C$6,I$3,1),Buchungen!$A$5:$A$1004,"&lt;"&amp;DATE(Start!$C$6,I$3+1,1)))</f>
        <v>0</v>
      </c>
      <c r="J37" s="39" t="n">
        <f aca="false">IF($A37="",0,SUMIFS(Buchungen!$D$5:$D$1004,Buchungen!$B$5:$B$1004,$A37,Buchungen!$A$5:$A$1004,"&gt;="&amp;DATE(Start!$C$6,J$3,1),Buchungen!$A$5:$A$1004,"&lt;"&amp;DATE(Start!$C$6,J$3+1,1)))</f>
        <v>0</v>
      </c>
      <c r="K37" s="39" t="n">
        <f aca="false">IF($A37="",0,SUMIFS(Buchungen!$D$5:$D$1004,Buchungen!$B$5:$B$1004,$A37,Buchungen!$A$5:$A$1004,"&gt;="&amp;DATE(Start!$C$6,K$3,1),Buchungen!$A$5:$A$1004,"&lt;"&amp;DATE(Start!$C$6,K$3+1,1)))</f>
        <v>0</v>
      </c>
      <c r="L37" s="39" t="n">
        <f aca="false">IF($A37="",0,SUMIFS(Buchungen!$D$5:$D$1004,Buchungen!$B$5:$B$1004,$A37,Buchungen!$A$5:$A$1004,"&gt;="&amp;DATE(Start!$C$6,L$3,1),Buchungen!$A$5:$A$1004,"&lt;"&amp;DATE(Start!$C$6,L$3+1,1)))</f>
        <v>0</v>
      </c>
      <c r="M37" s="39" t="n">
        <f aca="false">IF($A37="",0,SUMIFS(Buchungen!$D$5:$D$1004,Buchungen!$B$5:$B$1004,$A37,Buchungen!$A$5:$A$1004,"&gt;="&amp;DATE(Start!$C$6,M$3,1),Buchungen!$A$5:$A$1004,"&lt;"&amp;DATE(Start!$C$6,M$3+1,1)))</f>
        <v>0</v>
      </c>
      <c r="N37" s="39" t="n">
        <f aca="false">IF($A37="",0,SUMIFS(Buchungen!$D$5:$D$1004,Buchungen!$B$5:$B$1004,$A37,Buchungen!$A$5:$A$1004,"&gt;="&amp;DATE(Start!$C$6,N$3,1),Buchungen!$A$5:$A$1004,"&lt;"&amp;DATE(Start!$C$6,N$3+1,1)))</f>
        <v>0</v>
      </c>
      <c r="O37" s="40" t="n">
        <f aca="false">SUM(C37:N37)</f>
        <v>0</v>
      </c>
      <c r="P37" s="39" t="str">
        <f aca="false">IF($A37="","",O37/MAX(1,$B$48))</f>
        <v/>
      </c>
      <c r="Q37" s="39" t="str">
        <f aca="false">IF(OR($A37="",$B37=0),"",B37*$B$48)</f>
        <v/>
      </c>
      <c r="R37" s="39" t="str">
        <f aca="false">IF(OR($A37="",$B37=0),"",Q37-O37)</f>
        <v/>
      </c>
      <c r="S37" s="1" t="n">
        <f aca="false">IF($A37="",-1,O37+(100-ROW())/1000000)</f>
        <v>-1</v>
      </c>
    </row>
    <row r="38" customFormat="false" ht="15" hidden="false" customHeight="false" outlineLevel="0" collapsed="false">
      <c r="A38" s="10" t="str">
        <f aca="false">IF(Kategorien!A34="","",Kategorien!A34)</f>
        <v/>
      </c>
      <c r="B38" s="39" t="n">
        <f aca="false">IF($A38="",0,N(Kategorien!C34))</f>
        <v>0</v>
      </c>
      <c r="C38" s="39" t="n">
        <f aca="false">IF($A38="",0,SUMIFS(Buchungen!$D$5:$D$1004,Buchungen!$B$5:$B$1004,$A38,Buchungen!$A$5:$A$1004,"&gt;="&amp;DATE(Start!$C$6,C$3,1),Buchungen!$A$5:$A$1004,"&lt;"&amp;DATE(Start!$C$6,C$3+1,1)))</f>
        <v>0</v>
      </c>
      <c r="D38" s="39" t="n">
        <f aca="false">IF($A38="",0,SUMIFS(Buchungen!$D$5:$D$1004,Buchungen!$B$5:$B$1004,$A38,Buchungen!$A$5:$A$1004,"&gt;="&amp;DATE(Start!$C$6,D$3,1),Buchungen!$A$5:$A$1004,"&lt;"&amp;DATE(Start!$C$6,D$3+1,1)))</f>
        <v>0</v>
      </c>
      <c r="E38" s="39" t="n">
        <f aca="false">IF($A38="",0,SUMIFS(Buchungen!$D$5:$D$1004,Buchungen!$B$5:$B$1004,$A38,Buchungen!$A$5:$A$1004,"&gt;="&amp;DATE(Start!$C$6,E$3,1),Buchungen!$A$5:$A$1004,"&lt;"&amp;DATE(Start!$C$6,E$3+1,1)))</f>
        <v>0</v>
      </c>
      <c r="F38" s="39" t="n">
        <f aca="false">IF($A38="",0,SUMIFS(Buchungen!$D$5:$D$1004,Buchungen!$B$5:$B$1004,$A38,Buchungen!$A$5:$A$1004,"&gt;="&amp;DATE(Start!$C$6,F$3,1),Buchungen!$A$5:$A$1004,"&lt;"&amp;DATE(Start!$C$6,F$3+1,1)))</f>
        <v>0</v>
      </c>
      <c r="G38" s="39" t="n">
        <f aca="false">IF($A38="",0,SUMIFS(Buchungen!$D$5:$D$1004,Buchungen!$B$5:$B$1004,$A38,Buchungen!$A$5:$A$1004,"&gt;="&amp;DATE(Start!$C$6,G$3,1),Buchungen!$A$5:$A$1004,"&lt;"&amp;DATE(Start!$C$6,G$3+1,1)))</f>
        <v>0</v>
      </c>
      <c r="H38" s="39" t="n">
        <f aca="false">IF($A38="",0,SUMIFS(Buchungen!$D$5:$D$1004,Buchungen!$B$5:$B$1004,$A38,Buchungen!$A$5:$A$1004,"&gt;="&amp;DATE(Start!$C$6,H$3,1),Buchungen!$A$5:$A$1004,"&lt;"&amp;DATE(Start!$C$6,H$3+1,1)))</f>
        <v>0</v>
      </c>
      <c r="I38" s="39" t="n">
        <f aca="false">IF($A38="",0,SUMIFS(Buchungen!$D$5:$D$1004,Buchungen!$B$5:$B$1004,$A38,Buchungen!$A$5:$A$1004,"&gt;="&amp;DATE(Start!$C$6,I$3,1),Buchungen!$A$5:$A$1004,"&lt;"&amp;DATE(Start!$C$6,I$3+1,1)))</f>
        <v>0</v>
      </c>
      <c r="J38" s="39" t="n">
        <f aca="false">IF($A38="",0,SUMIFS(Buchungen!$D$5:$D$1004,Buchungen!$B$5:$B$1004,$A38,Buchungen!$A$5:$A$1004,"&gt;="&amp;DATE(Start!$C$6,J$3,1),Buchungen!$A$5:$A$1004,"&lt;"&amp;DATE(Start!$C$6,J$3+1,1)))</f>
        <v>0</v>
      </c>
      <c r="K38" s="39" t="n">
        <f aca="false">IF($A38="",0,SUMIFS(Buchungen!$D$5:$D$1004,Buchungen!$B$5:$B$1004,$A38,Buchungen!$A$5:$A$1004,"&gt;="&amp;DATE(Start!$C$6,K$3,1),Buchungen!$A$5:$A$1004,"&lt;"&amp;DATE(Start!$C$6,K$3+1,1)))</f>
        <v>0</v>
      </c>
      <c r="L38" s="39" t="n">
        <f aca="false">IF($A38="",0,SUMIFS(Buchungen!$D$5:$D$1004,Buchungen!$B$5:$B$1004,$A38,Buchungen!$A$5:$A$1004,"&gt;="&amp;DATE(Start!$C$6,L$3,1),Buchungen!$A$5:$A$1004,"&lt;"&amp;DATE(Start!$C$6,L$3+1,1)))</f>
        <v>0</v>
      </c>
      <c r="M38" s="39" t="n">
        <f aca="false">IF($A38="",0,SUMIFS(Buchungen!$D$5:$D$1004,Buchungen!$B$5:$B$1004,$A38,Buchungen!$A$5:$A$1004,"&gt;="&amp;DATE(Start!$C$6,M$3,1),Buchungen!$A$5:$A$1004,"&lt;"&amp;DATE(Start!$C$6,M$3+1,1)))</f>
        <v>0</v>
      </c>
      <c r="N38" s="39" t="n">
        <f aca="false">IF($A38="",0,SUMIFS(Buchungen!$D$5:$D$1004,Buchungen!$B$5:$B$1004,$A38,Buchungen!$A$5:$A$1004,"&gt;="&amp;DATE(Start!$C$6,N$3,1),Buchungen!$A$5:$A$1004,"&lt;"&amp;DATE(Start!$C$6,N$3+1,1)))</f>
        <v>0</v>
      </c>
      <c r="O38" s="40" t="n">
        <f aca="false">SUM(C38:N38)</f>
        <v>0</v>
      </c>
      <c r="P38" s="39" t="str">
        <f aca="false">IF($A38="","",O38/MAX(1,$B$48))</f>
        <v/>
      </c>
      <c r="Q38" s="39" t="str">
        <f aca="false">IF(OR($A38="",$B38=0),"",B38*$B$48)</f>
        <v/>
      </c>
      <c r="R38" s="39" t="str">
        <f aca="false">IF(OR($A38="",$B38=0),"",Q38-O38)</f>
        <v/>
      </c>
      <c r="S38" s="1" t="n">
        <f aca="false">IF($A38="",-1,O38+(100-ROW())/1000000)</f>
        <v>-1</v>
      </c>
    </row>
    <row r="39" customFormat="false" ht="15" hidden="false" customHeight="false" outlineLevel="0" collapsed="false">
      <c r="A39" s="10" t="str">
        <f aca="false">IF(Kategorien!A35="","",Kategorien!A35)</f>
        <v/>
      </c>
      <c r="B39" s="39" t="n">
        <f aca="false">IF($A39="",0,N(Kategorien!C35))</f>
        <v>0</v>
      </c>
      <c r="C39" s="39" t="n">
        <f aca="false">IF($A39="",0,SUMIFS(Buchungen!$D$5:$D$1004,Buchungen!$B$5:$B$1004,$A39,Buchungen!$A$5:$A$1004,"&gt;="&amp;DATE(Start!$C$6,C$3,1),Buchungen!$A$5:$A$1004,"&lt;"&amp;DATE(Start!$C$6,C$3+1,1)))</f>
        <v>0</v>
      </c>
      <c r="D39" s="39" t="n">
        <f aca="false">IF($A39="",0,SUMIFS(Buchungen!$D$5:$D$1004,Buchungen!$B$5:$B$1004,$A39,Buchungen!$A$5:$A$1004,"&gt;="&amp;DATE(Start!$C$6,D$3,1),Buchungen!$A$5:$A$1004,"&lt;"&amp;DATE(Start!$C$6,D$3+1,1)))</f>
        <v>0</v>
      </c>
      <c r="E39" s="39" t="n">
        <f aca="false">IF($A39="",0,SUMIFS(Buchungen!$D$5:$D$1004,Buchungen!$B$5:$B$1004,$A39,Buchungen!$A$5:$A$1004,"&gt;="&amp;DATE(Start!$C$6,E$3,1),Buchungen!$A$5:$A$1004,"&lt;"&amp;DATE(Start!$C$6,E$3+1,1)))</f>
        <v>0</v>
      </c>
      <c r="F39" s="39" t="n">
        <f aca="false">IF($A39="",0,SUMIFS(Buchungen!$D$5:$D$1004,Buchungen!$B$5:$B$1004,$A39,Buchungen!$A$5:$A$1004,"&gt;="&amp;DATE(Start!$C$6,F$3,1),Buchungen!$A$5:$A$1004,"&lt;"&amp;DATE(Start!$C$6,F$3+1,1)))</f>
        <v>0</v>
      </c>
      <c r="G39" s="39" t="n">
        <f aca="false">IF($A39="",0,SUMIFS(Buchungen!$D$5:$D$1004,Buchungen!$B$5:$B$1004,$A39,Buchungen!$A$5:$A$1004,"&gt;="&amp;DATE(Start!$C$6,G$3,1),Buchungen!$A$5:$A$1004,"&lt;"&amp;DATE(Start!$C$6,G$3+1,1)))</f>
        <v>0</v>
      </c>
      <c r="H39" s="39" t="n">
        <f aca="false">IF($A39="",0,SUMIFS(Buchungen!$D$5:$D$1004,Buchungen!$B$5:$B$1004,$A39,Buchungen!$A$5:$A$1004,"&gt;="&amp;DATE(Start!$C$6,H$3,1),Buchungen!$A$5:$A$1004,"&lt;"&amp;DATE(Start!$C$6,H$3+1,1)))</f>
        <v>0</v>
      </c>
      <c r="I39" s="39" t="n">
        <f aca="false">IF($A39="",0,SUMIFS(Buchungen!$D$5:$D$1004,Buchungen!$B$5:$B$1004,$A39,Buchungen!$A$5:$A$1004,"&gt;="&amp;DATE(Start!$C$6,I$3,1),Buchungen!$A$5:$A$1004,"&lt;"&amp;DATE(Start!$C$6,I$3+1,1)))</f>
        <v>0</v>
      </c>
      <c r="J39" s="39" t="n">
        <f aca="false">IF($A39="",0,SUMIFS(Buchungen!$D$5:$D$1004,Buchungen!$B$5:$B$1004,$A39,Buchungen!$A$5:$A$1004,"&gt;="&amp;DATE(Start!$C$6,J$3,1),Buchungen!$A$5:$A$1004,"&lt;"&amp;DATE(Start!$C$6,J$3+1,1)))</f>
        <v>0</v>
      </c>
      <c r="K39" s="39" t="n">
        <f aca="false">IF($A39="",0,SUMIFS(Buchungen!$D$5:$D$1004,Buchungen!$B$5:$B$1004,$A39,Buchungen!$A$5:$A$1004,"&gt;="&amp;DATE(Start!$C$6,K$3,1),Buchungen!$A$5:$A$1004,"&lt;"&amp;DATE(Start!$C$6,K$3+1,1)))</f>
        <v>0</v>
      </c>
      <c r="L39" s="39" t="n">
        <f aca="false">IF($A39="",0,SUMIFS(Buchungen!$D$5:$D$1004,Buchungen!$B$5:$B$1004,$A39,Buchungen!$A$5:$A$1004,"&gt;="&amp;DATE(Start!$C$6,L$3,1),Buchungen!$A$5:$A$1004,"&lt;"&amp;DATE(Start!$C$6,L$3+1,1)))</f>
        <v>0</v>
      </c>
      <c r="M39" s="39" t="n">
        <f aca="false">IF($A39="",0,SUMIFS(Buchungen!$D$5:$D$1004,Buchungen!$B$5:$B$1004,$A39,Buchungen!$A$5:$A$1004,"&gt;="&amp;DATE(Start!$C$6,M$3,1),Buchungen!$A$5:$A$1004,"&lt;"&amp;DATE(Start!$C$6,M$3+1,1)))</f>
        <v>0</v>
      </c>
      <c r="N39" s="39" t="n">
        <f aca="false">IF($A39="",0,SUMIFS(Buchungen!$D$5:$D$1004,Buchungen!$B$5:$B$1004,$A39,Buchungen!$A$5:$A$1004,"&gt;="&amp;DATE(Start!$C$6,N$3,1),Buchungen!$A$5:$A$1004,"&lt;"&amp;DATE(Start!$C$6,N$3+1,1)))</f>
        <v>0</v>
      </c>
      <c r="O39" s="40" t="n">
        <f aca="false">SUM(C39:N39)</f>
        <v>0</v>
      </c>
      <c r="P39" s="39" t="str">
        <f aca="false">IF($A39="","",O39/MAX(1,$B$48))</f>
        <v/>
      </c>
      <c r="Q39" s="39" t="str">
        <f aca="false">IF(OR($A39="",$B39=0),"",B39*$B$48)</f>
        <v/>
      </c>
      <c r="R39" s="39" t="str">
        <f aca="false">IF(OR($A39="",$B39=0),"",Q39-O39)</f>
        <v/>
      </c>
      <c r="S39" s="1" t="n">
        <f aca="false">IF($A39="",-1,O39+(100-ROW())/1000000)</f>
        <v>-1</v>
      </c>
    </row>
    <row r="40" customFormat="false" ht="15" hidden="false" customHeight="false" outlineLevel="0" collapsed="false">
      <c r="A40" s="10" t="str">
        <f aca="false">IF(Kategorien!A36="","",Kategorien!A36)</f>
        <v/>
      </c>
      <c r="B40" s="39" t="n">
        <f aca="false">IF($A40="",0,N(Kategorien!C36))</f>
        <v>0</v>
      </c>
      <c r="C40" s="39" t="n">
        <f aca="false">IF($A40="",0,SUMIFS(Buchungen!$D$5:$D$1004,Buchungen!$B$5:$B$1004,$A40,Buchungen!$A$5:$A$1004,"&gt;="&amp;DATE(Start!$C$6,C$3,1),Buchungen!$A$5:$A$1004,"&lt;"&amp;DATE(Start!$C$6,C$3+1,1)))</f>
        <v>0</v>
      </c>
      <c r="D40" s="39" t="n">
        <f aca="false">IF($A40="",0,SUMIFS(Buchungen!$D$5:$D$1004,Buchungen!$B$5:$B$1004,$A40,Buchungen!$A$5:$A$1004,"&gt;="&amp;DATE(Start!$C$6,D$3,1),Buchungen!$A$5:$A$1004,"&lt;"&amp;DATE(Start!$C$6,D$3+1,1)))</f>
        <v>0</v>
      </c>
      <c r="E40" s="39" t="n">
        <f aca="false">IF($A40="",0,SUMIFS(Buchungen!$D$5:$D$1004,Buchungen!$B$5:$B$1004,$A40,Buchungen!$A$5:$A$1004,"&gt;="&amp;DATE(Start!$C$6,E$3,1),Buchungen!$A$5:$A$1004,"&lt;"&amp;DATE(Start!$C$6,E$3+1,1)))</f>
        <v>0</v>
      </c>
      <c r="F40" s="39" t="n">
        <f aca="false">IF($A40="",0,SUMIFS(Buchungen!$D$5:$D$1004,Buchungen!$B$5:$B$1004,$A40,Buchungen!$A$5:$A$1004,"&gt;="&amp;DATE(Start!$C$6,F$3,1),Buchungen!$A$5:$A$1004,"&lt;"&amp;DATE(Start!$C$6,F$3+1,1)))</f>
        <v>0</v>
      </c>
      <c r="G40" s="39" t="n">
        <f aca="false">IF($A40="",0,SUMIFS(Buchungen!$D$5:$D$1004,Buchungen!$B$5:$B$1004,$A40,Buchungen!$A$5:$A$1004,"&gt;="&amp;DATE(Start!$C$6,G$3,1),Buchungen!$A$5:$A$1004,"&lt;"&amp;DATE(Start!$C$6,G$3+1,1)))</f>
        <v>0</v>
      </c>
      <c r="H40" s="39" t="n">
        <f aca="false">IF($A40="",0,SUMIFS(Buchungen!$D$5:$D$1004,Buchungen!$B$5:$B$1004,$A40,Buchungen!$A$5:$A$1004,"&gt;="&amp;DATE(Start!$C$6,H$3,1),Buchungen!$A$5:$A$1004,"&lt;"&amp;DATE(Start!$C$6,H$3+1,1)))</f>
        <v>0</v>
      </c>
      <c r="I40" s="39" t="n">
        <f aca="false">IF($A40="",0,SUMIFS(Buchungen!$D$5:$D$1004,Buchungen!$B$5:$B$1004,$A40,Buchungen!$A$5:$A$1004,"&gt;="&amp;DATE(Start!$C$6,I$3,1),Buchungen!$A$5:$A$1004,"&lt;"&amp;DATE(Start!$C$6,I$3+1,1)))</f>
        <v>0</v>
      </c>
      <c r="J40" s="39" t="n">
        <f aca="false">IF($A40="",0,SUMIFS(Buchungen!$D$5:$D$1004,Buchungen!$B$5:$B$1004,$A40,Buchungen!$A$5:$A$1004,"&gt;="&amp;DATE(Start!$C$6,J$3,1),Buchungen!$A$5:$A$1004,"&lt;"&amp;DATE(Start!$C$6,J$3+1,1)))</f>
        <v>0</v>
      </c>
      <c r="K40" s="39" t="n">
        <f aca="false">IF($A40="",0,SUMIFS(Buchungen!$D$5:$D$1004,Buchungen!$B$5:$B$1004,$A40,Buchungen!$A$5:$A$1004,"&gt;="&amp;DATE(Start!$C$6,K$3,1),Buchungen!$A$5:$A$1004,"&lt;"&amp;DATE(Start!$C$6,K$3+1,1)))</f>
        <v>0</v>
      </c>
      <c r="L40" s="39" t="n">
        <f aca="false">IF($A40="",0,SUMIFS(Buchungen!$D$5:$D$1004,Buchungen!$B$5:$B$1004,$A40,Buchungen!$A$5:$A$1004,"&gt;="&amp;DATE(Start!$C$6,L$3,1),Buchungen!$A$5:$A$1004,"&lt;"&amp;DATE(Start!$C$6,L$3+1,1)))</f>
        <v>0</v>
      </c>
      <c r="M40" s="39" t="n">
        <f aca="false">IF($A40="",0,SUMIFS(Buchungen!$D$5:$D$1004,Buchungen!$B$5:$B$1004,$A40,Buchungen!$A$5:$A$1004,"&gt;="&amp;DATE(Start!$C$6,M$3,1),Buchungen!$A$5:$A$1004,"&lt;"&amp;DATE(Start!$C$6,M$3+1,1)))</f>
        <v>0</v>
      </c>
      <c r="N40" s="39" t="n">
        <f aca="false">IF($A40="",0,SUMIFS(Buchungen!$D$5:$D$1004,Buchungen!$B$5:$B$1004,$A40,Buchungen!$A$5:$A$1004,"&gt;="&amp;DATE(Start!$C$6,N$3,1),Buchungen!$A$5:$A$1004,"&lt;"&amp;DATE(Start!$C$6,N$3+1,1)))</f>
        <v>0</v>
      </c>
      <c r="O40" s="40" t="n">
        <f aca="false">SUM(C40:N40)</f>
        <v>0</v>
      </c>
      <c r="P40" s="39" t="str">
        <f aca="false">IF($A40="","",O40/MAX(1,$B$48))</f>
        <v/>
      </c>
      <c r="Q40" s="39" t="str">
        <f aca="false">IF(OR($A40="",$B40=0),"",B40*$B$48)</f>
        <v/>
      </c>
      <c r="R40" s="39" t="str">
        <f aca="false">IF(OR($A40="",$B40=0),"",Q40-O40)</f>
        <v/>
      </c>
      <c r="S40" s="1" t="n">
        <f aca="false">IF($A40="",-1,O40+(100-ROW())/1000000)</f>
        <v>-1</v>
      </c>
    </row>
    <row r="41" customFormat="false" ht="15" hidden="false" customHeight="false" outlineLevel="0" collapsed="false">
      <c r="A41" s="10" t="str">
        <f aca="false">IF(Kategorien!A37="","",Kategorien!A37)</f>
        <v/>
      </c>
      <c r="B41" s="39" t="n">
        <f aca="false">IF($A41="",0,N(Kategorien!C37))</f>
        <v>0</v>
      </c>
      <c r="C41" s="39" t="n">
        <f aca="false">IF($A41="",0,SUMIFS(Buchungen!$D$5:$D$1004,Buchungen!$B$5:$B$1004,$A41,Buchungen!$A$5:$A$1004,"&gt;="&amp;DATE(Start!$C$6,C$3,1),Buchungen!$A$5:$A$1004,"&lt;"&amp;DATE(Start!$C$6,C$3+1,1)))</f>
        <v>0</v>
      </c>
      <c r="D41" s="39" t="n">
        <f aca="false">IF($A41="",0,SUMIFS(Buchungen!$D$5:$D$1004,Buchungen!$B$5:$B$1004,$A41,Buchungen!$A$5:$A$1004,"&gt;="&amp;DATE(Start!$C$6,D$3,1),Buchungen!$A$5:$A$1004,"&lt;"&amp;DATE(Start!$C$6,D$3+1,1)))</f>
        <v>0</v>
      </c>
      <c r="E41" s="39" t="n">
        <f aca="false">IF($A41="",0,SUMIFS(Buchungen!$D$5:$D$1004,Buchungen!$B$5:$B$1004,$A41,Buchungen!$A$5:$A$1004,"&gt;="&amp;DATE(Start!$C$6,E$3,1),Buchungen!$A$5:$A$1004,"&lt;"&amp;DATE(Start!$C$6,E$3+1,1)))</f>
        <v>0</v>
      </c>
      <c r="F41" s="39" t="n">
        <f aca="false">IF($A41="",0,SUMIFS(Buchungen!$D$5:$D$1004,Buchungen!$B$5:$B$1004,$A41,Buchungen!$A$5:$A$1004,"&gt;="&amp;DATE(Start!$C$6,F$3,1),Buchungen!$A$5:$A$1004,"&lt;"&amp;DATE(Start!$C$6,F$3+1,1)))</f>
        <v>0</v>
      </c>
      <c r="G41" s="39" t="n">
        <f aca="false">IF($A41="",0,SUMIFS(Buchungen!$D$5:$D$1004,Buchungen!$B$5:$B$1004,$A41,Buchungen!$A$5:$A$1004,"&gt;="&amp;DATE(Start!$C$6,G$3,1),Buchungen!$A$5:$A$1004,"&lt;"&amp;DATE(Start!$C$6,G$3+1,1)))</f>
        <v>0</v>
      </c>
      <c r="H41" s="39" t="n">
        <f aca="false">IF($A41="",0,SUMIFS(Buchungen!$D$5:$D$1004,Buchungen!$B$5:$B$1004,$A41,Buchungen!$A$5:$A$1004,"&gt;="&amp;DATE(Start!$C$6,H$3,1),Buchungen!$A$5:$A$1004,"&lt;"&amp;DATE(Start!$C$6,H$3+1,1)))</f>
        <v>0</v>
      </c>
      <c r="I41" s="39" t="n">
        <f aca="false">IF($A41="",0,SUMIFS(Buchungen!$D$5:$D$1004,Buchungen!$B$5:$B$1004,$A41,Buchungen!$A$5:$A$1004,"&gt;="&amp;DATE(Start!$C$6,I$3,1),Buchungen!$A$5:$A$1004,"&lt;"&amp;DATE(Start!$C$6,I$3+1,1)))</f>
        <v>0</v>
      </c>
      <c r="J41" s="39" t="n">
        <f aca="false">IF($A41="",0,SUMIFS(Buchungen!$D$5:$D$1004,Buchungen!$B$5:$B$1004,$A41,Buchungen!$A$5:$A$1004,"&gt;="&amp;DATE(Start!$C$6,J$3,1),Buchungen!$A$5:$A$1004,"&lt;"&amp;DATE(Start!$C$6,J$3+1,1)))</f>
        <v>0</v>
      </c>
      <c r="K41" s="39" t="n">
        <f aca="false">IF($A41="",0,SUMIFS(Buchungen!$D$5:$D$1004,Buchungen!$B$5:$B$1004,$A41,Buchungen!$A$5:$A$1004,"&gt;="&amp;DATE(Start!$C$6,K$3,1),Buchungen!$A$5:$A$1004,"&lt;"&amp;DATE(Start!$C$6,K$3+1,1)))</f>
        <v>0</v>
      </c>
      <c r="L41" s="39" t="n">
        <f aca="false">IF($A41="",0,SUMIFS(Buchungen!$D$5:$D$1004,Buchungen!$B$5:$B$1004,$A41,Buchungen!$A$5:$A$1004,"&gt;="&amp;DATE(Start!$C$6,L$3,1),Buchungen!$A$5:$A$1004,"&lt;"&amp;DATE(Start!$C$6,L$3+1,1)))</f>
        <v>0</v>
      </c>
      <c r="M41" s="39" t="n">
        <f aca="false">IF($A41="",0,SUMIFS(Buchungen!$D$5:$D$1004,Buchungen!$B$5:$B$1004,$A41,Buchungen!$A$5:$A$1004,"&gt;="&amp;DATE(Start!$C$6,M$3,1),Buchungen!$A$5:$A$1004,"&lt;"&amp;DATE(Start!$C$6,M$3+1,1)))</f>
        <v>0</v>
      </c>
      <c r="N41" s="39" t="n">
        <f aca="false">IF($A41="",0,SUMIFS(Buchungen!$D$5:$D$1004,Buchungen!$B$5:$B$1004,$A41,Buchungen!$A$5:$A$1004,"&gt;="&amp;DATE(Start!$C$6,N$3,1),Buchungen!$A$5:$A$1004,"&lt;"&amp;DATE(Start!$C$6,N$3+1,1)))</f>
        <v>0</v>
      </c>
      <c r="O41" s="40" t="n">
        <f aca="false">SUM(C41:N41)</f>
        <v>0</v>
      </c>
      <c r="P41" s="39" t="str">
        <f aca="false">IF($A41="","",O41/MAX(1,$B$48))</f>
        <v/>
      </c>
      <c r="Q41" s="39" t="str">
        <f aca="false">IF(OR($A41="",$B41=0),"",B41*$B$48)</f>
        <v/>
      </c>
      <c r="R41" s="39" t="str">
        <f aca="false">IF(OR($A41="",$B41=0),"",Q41-O41)</f>
        <v/>
      </c>
      <c r="S41" s="1" t="n">
        <f aca="false">IF($A41="",-1,O41+(100-ROW())/1000000)</f>
        <v>-1</v>
      </c>
    </row>
    <row r="42" customFormat="false" ht="15" hidden="false" customHeight="false" outlineLevel="0" collapsed="false">
      <c r="A42" s="44" t="s">
        <v>101</v>
      </c>
      <c r="B42" s="44" t="n">
        <f aca="false">SUM(B17:B41)</f>
        <v>0</v>
      </c>
      <c r="C42" s="44" t="n">
        <f aca="false">SUM(C17:C41)</f>
        <v>0</v>
      </c>
      <c r="D42" s="44" t="n">
        <f aca="false">SUM(D17:D41)</f>
        <v>0</v>
      </c>
      <c r="E42" s="44" t="n">
        <f aca="false">SUM(E17:E41)</f>
        <v>0</v>
      </c>
      <c r="F42" s="44" t="n">
        <f aca="false">SUM(F17:F41)</f>
        <v>0</v>
      </c>
      <c r="G42" s="44" t="n">
        <f aca="false">SUM(G17:G41)</f>
        <v>0</v>
      </c>
      <c r="H42" s="44" t="n">
        <f aca="false">SUM(H17:H41)</f>
        <v>0</v>
      </c>
      <c r="I42" s="44" t="n">
        <f aca="false">SUM(I17:I41)</f>
        <v>0</v>
      </c>
      <c r="J42" s="44" t="n">
        <f aca="false">SUM(J17:J41)</f>
        <v>0</v>
      </c>
      <c r="K42" s="44" t="n">
        <f aca="false">SUM(K17:K41)</f>
        <v>0</v>
      </c>
      <c r="L42" s="44" t="n">
        <f aca="false">SUM(L17:L41)</f>
        <v>0</v>
      </c>
      <c r="M42" s="44" t="n">
        <f aca="false">SUM(M17:M41)</f>
        <v>0</v>
      </c>
      <c r="N42" s="44" t="n">
        <f aca="false">SUM(N17:N41)</f>
        <v>0</v>
      </c>
      <c r="O42" s="44" t="n">
        <f aca="false">SUM(O17:O41)</f>
        <v>0</v>
      </c>
      <c r="P42" s="44" t="n">
        <f aca="false">O42/MAX(1,$B$48)</f>
        <v>0</v>
      </c>
      <c r="Q42" s="44" t="n">
        <f aca="false">SUM(Q17:Q41)</f>
        <v>0</v>
      </c>
      <c r="R42" s="44"/>
      <c r="S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customFormat="false" ht="15" hidden="false" customHeight="false" outlineLevel="0" collapsed="false">
      <c r="A44" s="45" t="s">
        <v>102</v>
      </c>
      <c r="B44" s="45"/>
      <c r="C44" s="46" t="n">
        <f aca="false">C14-C42</f>
        <v>2100</v>
      </c>
      <c r="D44" s="46" t="n">
        <f aca="false">D14-D42</f>
        <v>0</v>
      </c>
      <c r="E44" s="46" t="n">
        <f aca="false">E14-E42</f>
        <v>0</v>
      </c>
      <c r="F44" s="46" t="n">
        <f aca="false">F14-F42</f>
        <v>0</v>
      </c>
      <c r="G44" s="46" t="n">
        <f aca="false">G14-G42</f>
        <v>0</v>
      </c>
      <c r="H44" s="46" t="n">
        <f aca="false">H14-H42</f>
        <v>0</v>
      </c>
      <c r="I44" s="46" t="n">
        <f aca="false">I14-I42</f>
        <v>0</v>
      </c>
      <c r="J44" s="46" t="n">
        <f aca="false">J14-J42</f>
        <v>0</v>
      </c>
      <c r="K44" s="46" t="n">
        <f aca="false">K14-K42</f>
        <v>0</v>
      </c>
      <c r="L44" s="46" t="n">
        <f aca="false">L14-L42</f>
        <v>0</v>
      </c>
      <c r="M44" s="46" t="n">
        <f aca="false">M14-M42</f>
        <v>0</v>
      </c>
      <c r="N44" s="46" t="n">
        <f aca="false">N14-N42</f>
        <v>0</v>
      </c>
      <c r="O44" s="46" t="n">
        <f aca="false">O14-O42</f>
        <v>2100</v>
      </c>
      <c r="P44" s="1"/>
      <c r="Q44" s="1"/>
      <c r="R44" s="1"/>
      <c r="S44" s="1"/>
    </row>
    <row r="45" customFormat="false" ht="15" hidden="false" customHeight="false" outlineLevel="0" collapsed="false">
      <c r="A45" s="45" t="s">
        <v>103</v>
      </c>
      <c r="B45" s="45"/>
      <c r="C45" s="47" t="n">
        <f aca="false">IF(C14=0,0,C44/C14)</f>
        <v>1</v>
      </c>
      <c r="D45" s="47" t="n">
        <f aca="false">IF(D14=0,0,D44/D14)</f>
        <v>0</v>
      </c>
      <c r="E45" s="47" t="n">
        <f aca="false">IF(E14=0,0,E44/E14)</f>
        <v>0</v>
      </c>
      <c r="F45" s="47" t="n">
        <f aca="false">IF(F14=0,0,F44/F14)</f>
        <v>0</v>
      </c>
      <c r="G45" s="47" t="n">
        <f aca="false">IF(G14=0,0,G44/G14)</f>
        <v>0</v>
      </c>
      <c r="H45" s="47" t="n">
        <f aca="false">IF(H14=0,0,H44/H14)</f>
        <v>0</v>
      </c>
      <c r="I45" s="47" t="n">
        <f aca="false">IF(I14=0,0,I44/I14)</f>
        <v>0</v>
      </c>
      <c r="J45" s="47" t="n">
        <f aca="false">IF(J14=0,0,J44/J14)</f>
        <v>0</v>
      </c>
      <c r="K45" s="47" t="n">
        <f aca="false">IF(K14=0,0,K44/K14)</f>
        <v>0</v>
      </c>
      <c r="L45" s="47" t="n">
        <f aca="false">IF(L14=0,0,L44/L14)</f>
        <v>0</v>
      </c>
      <c r="M45" s="47" t="n">
        <f aca="false">IF(M14=0,0,M44/M14)</f>
        <v>0</v>
      </c>
      <c r="N45" s="47" t="n">
        <f aca="false">IF(N14=0,0,N44/N14)</f>
        <v>0</v>
      </c>
      <c r="O45" s="47" t="n">
        <f aca="false">IF(O14=0,0,O44/O14)</f>
        <v>1</v>
      </c>
      <c r="P45" s="1"/>
      <c r="Q45" s="1"/>
      <c r="R45" s="1"/>
      <c r="S45" s="1"/>
    </row>
    <row r="46" customFormat="false" ht="15" hidden="false" customHeight="false" outlineLevel="0" collapsed="false">
      <c r="A46" s="45" t="s">
        <v>104</v>
      </c>
      <c r="B46" s="45"/>
      <c r="C46" s="46" t="n">
        <f aca="false">Start!$C$7+SUM($C$44:C44)</f>
        <v>2100</v>
      </c>
      <c r="D46" s="46" t="n">
        <f aca="false">Start!$C$7+SUM($C$44:D44)</f>
        <v>2100</v>
      </c>
      <c r="E46" s="46" t="n">
        <f aca="false">Start!$C$7+SUM($C$44:E44)</f>
        <v>2100</v>
      </c>
      <c r="F46" s="46" t="n">
        <f aca="false">Start!$C$7+SUM($C$44:F44)</f>
        <v>2100</v>
      </c>
      <c r="G46" s="46" t="n">
        <f aca="false">Start!$C$7+SUM($C$44:G44)</f>
        <v>2100</v>
      </c>
      <c r="H46" s="46" t="n">
        <f aca="false">Start!$C$7+SUM($C$44:H44)</f>
        <v>2100</v>
      </c>
      <c r="I46" s="46" t="n">
        <f aca="false">Start!$C$7+SUM($C$44:I44)</f>
        <v>2100</v>
      </c>
      <c r="J46" s="46" t="n">
        <f aca="false">Start!$C$7+SUM($C$44:J44)</f>
        <v>2100</v>
      </c>
      <c r="K46" s="46" t="n">
        <f aca="false">Start!$C$7+SUM($C$44:K44)</f>
        <v>2100</v>
      </c>
      <c r="L46" s="46" t="n">
        <f aca="false">Start!$C$7+SUM($C$44:L44)</f>
        <v>2100</v>
      </c>
      <c r="M46" s="46" t="n">
        <f aca="false">Start!$C$7+SUM($C$44:M44)</f>
        <v>2100</v>
      </c>
      <c r="N46" s="46" t="n">
        <f aca="false">Start!$C$7+SUM($C$44:N44)</f>
        <v>2100</v>
      </c>
      <c r="O46" s="45"/>
      <c r="P46" s="1"/>
      <c r="Q46" s="1"/>
      <c r="R46" s="1"/>
      <c r="S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customFormat="false" ht="15" hidden="false" customHeight="false" outlineLevel="0" collapsed="false">
      <c r="A48" s="35" t="s">
        <v>105</v>
      </c>
      <c r="B48" s="48" t="n">
        <f aca="false">SUMPRODUCT(--((C14:N14+C42:N42)&gt;0))</f>
        <v>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customFormat="false" ht="15" hidden="false" customHeight="false" outlineLevel="0" collapsed="false">
      <c r="A49" s="14" t="s">
        <v>106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</sheetData>
  <sheetProtection sheet="true"/>
  <conditionalFormatting sqref="C17:N41">
    <cfRule type="expression" priority="2" aboveAverage="0" equalAverage="0" bottom="0" percent="0" rank="0" text="" dxfId="10">
      <formula>AND($B17&gt;0,C17&gt;$B17)</formula>
    </cfRule>
  </conditionalFormatting>
  <conditionalFormatting sqref="R6:R13">
    <cfRule type="cellIs" priority="3" operator="greaterThan" aboveAverage="0" equalAverage="0" bottom="0" percent="0" rank="0" text="" dxfId="8">
      <formula>0</formula>
    </cfRule>
    <cfRule type="cellIs" priority="4" operator="lessThan" aboveAverage="0" equalAverage="0" bottom="0" percent="0" rank="0" text="" dxfId="0">
      <formula>0</formula>
    </cfRule>
  </conditionalFormatting>
  <conditionalFormatting sqref="R17:R41">
    <cfRule type="cellIs" priority="5" operator="greaterThan" aboveAverage="0" equalAverage="0" bottom="0" percent="0" rank="0" text="" dxfId="8">
      <formula>0</formula>
    </cfRule>
    <cfRule type="cellIs" priority="6" operator="lessThan" aboveAverage="0" equalAverage="0" bottom="0" percent="0" rank="0" text="" dxfId="0">
      <formula>0</formula>
    </cfRule>
  </conditionalFormatting>
  <conditionalFormatting sqref="C44:O44">
    <cfRule type="cellIs" priority="7" operator="lessThan" aboveAverage="0" equalAverage="0" bottom="0" percent="0" rank="0" text="" dxfId="0">
      <formula>0</formula>
    </cfRule>
  </conditionalFormatting>
  <conditionalFormatting sqref="B6:R13">
    <cfRule type="expression" priority="8" aboveAverage="0" equalAverage="0" bottom="0" percent="0" rank="0" text="" dxfId="11">
      <formula>$A6=""</formula>
    </cfRule>
  </conditionalFormatting>
  <conditionalFormatting sqref="B17:R41">
    <cfRule type="expression" priority="9" aboveAverage="0" equalAverage="0" bottom="0" percent="0" rank="0" text="" dxfId="11">
      <formula>$A17=""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5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7"/>
  </cols>
  <sheetData>
    <row r="1" customFormat="false" ht="30" hidden="false" customHeight="true" outlineLevel="0" collapsed="false">
      <c r="A1" s="28" t="s">
        <v>107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6" t="s">
        <v>108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30" hidden="false" customHeight="true" outlineLevel="0" collapsed="false">
      <c r="A4" s="25" t="s">
        <v>109</v>
      </c>
      <c r="B4" s="25" t="s">
        <v>110</v>
      </c>
      <c r="C4" s="25" t="s">
        <v>111</v>
      </c>
      <c r="D4" s="25" t="s">
        <v>112</v>
      </c>
      <c r="E4" s="25" t="s">
        <v>113</v>
      </c>
      <c r="F4" s="25" t="s">
        <v>114</v>
      </c>
      <c r="G4" s="25" t="s">
        <v>115</v>
      </c>
      <c r="H4" s="25" t="s">
        <v>116</v>
      </c>
    </row>
    <row r="5" customFormat="false" ht="15" hidden="false" customHeight="false" outlineLevel="0" collapsed="false">
      <c r="A5" s="30" t="s">
        <v>117</v>
      </c>
      <c r="B5" s="31" t="n">
        <v>3000</v>
      </c>
      <c r="C5" s="31" t="n">
        <v>0</v>
      </c>
      <c r="D5" s="31" t="n">
        <v>100</v>
      </c>
      <c r="E5" s="39" t="n">
        <f aca="false">IF(A5="","",MAX(0,N(B5)-N(C5)))</f>
        <v>3000</v>
      </c>
      <c r="F5" s="49" t="n">
        <f aca="false">IF(OR(A5="",N(B5)=0),"",MIN(1,N(C5)/B5))</f>
        <v>0</v>
      </c>
      <c r="G5" s="50" t="n">
        <f aca="false">IF(A5="","",IF(E5=0,0,IF(N(D5)&lt;=0,"Rate fehlt",ROUNDUP(E5/D5,0))))</f>
        <v>30</v>
      </c>
      <c r="H5" s="51" t="n">
        <f aca="true">IF(ISNUMBER(G5),IF(G5=0,"erreicht!",EDATE(TODAY(),G5)),"")</f>
        <v>47232</v>
      </c>
    </row>
    <row r="6" customFormat="false" ht="15" hidden="false" customHeight="false" outlineLevel="0" collapsed="false">
      <c r="A6" s="30"/>
      <c r="B6" s="31"/>
      <c r="C6" s="31"/>
      <c r="D6" s="31"/>
      <c r="E6" s="39" t="str">
        <f aca="false">IF(A6="","",MAX(0,N(B6)-N(C6)))</f>
        <v/>
      </c>
      <c r="F6" s="49" t="str">
        <f aca="false">IF(OR(A6="",N(B6)=0),"",MIN(1,N(C6)/B6))</f>
        <v/>
      </c>
      <c r="G6" s="50" t="str">
        <f aca="false">IF(A6="","",IF(E6=0,0,IF(N(D6)&lt;=0,"Rate fehlt",ROUNDUP(E6/D6,0))))</f>
        <v/>
      </c>
      <c r="H6" s="51" t="str">
        <f aca="true">IF(ISNUMBER(G6),IF(G6=0,"erreicht!",EDATE(TODAY(),G6)),"")</f>
        <v/>
      </c>
    </row>
    <row r="7" customFormat="false" ht="15" hidden="false" customHeight="false" outlineLevel="0" collapsed="false">
      <c r="A7" s="30"/>
      <c r="B7" s="31"/>
      <c r="C7" s="31"/>
      <c r="D7" s="31"/>
      <c r="E7" s="39" t="str">
        <f aca="false">IF(A7="","",MAX(0,N(B7)-N(C7)))</f>
        <v/>
      </c>
      <c r="F7" s="49" t="str">
        <f aca="false">IF(OR(A7="",N(B7)=0),"",MIN(1,N(C7)/B7))</f>
        <v/>
      </c>
      <c r="G7" s="50" t="str">
        <f aca="false">IF(A7="","",IF(E7=0,0,IF(N(D7)&lt;=0,"Rate fehlt",ROUNDUP(E7/D7,0))))</f>
        <v/>
      </c>
      <c r="H7" s="51" t="str">
        <f aca="true">IF(ISNUMBER(G7),IF(G7=0,"erreicht!",EDATE(TODAY(),G7)),"")</f>
        <v/>
      </c>
    </row>
    <row r="8" customFormat="false" ht="15" hidden="false" customHeight="false" outlineLevel="0" collapsed="false">
      <c r="A8" s="30"/>
      <c r="B8" s="31"/>
      <c r="C8" s="31"/>
      <c r="D8" s="31"/>
      <c r="E8" s="39" t="str">
        <f aca="false">IF(A8="","",MAX(0,N(B8)-N(C8)))</f>
        <v/>
      </c>
      <c r="F8" s="49" t="str">
        <f aca="false">IF(OR(A8="",N(B8)=0),"",MIN(1,N(C8)/B8))</f>
        <v/>
      </c>
      <c r="G8" s="50" t="str">
        <f aca="false">IF(A8="","",IF(E8=0,0,IF(N(D8)&lt;=0,"Rate fehlt",ROUNDUP(E8/D8,0))))</f>
        <v/>
      </c>
      <c r="H8" s="51" t="str">
        <f aca="true">IF(ISNUMBER(G8),IF(G8=0,"erreicht!",EDATE(TODAY(),G8)),"")</f>
        <v/>
      </c>
    </row>
    <row r="9" customFormat="false" ht="15" hidden="false" customHeight="false" outlineLevel="0" collapsed="false">
      <c r="A9" s="30"/>
      <c r="B9" s="31"/>
      <c r="C9" s="31"/>
      <c r="D9" s="31"/>
      <c r="E9" s="39" t="str">
        <f aca="false">IF(A9="","",MAX(0,N(B9)-N(C9)))</f>
        <v/>
      </c>
      <c r="F9" s="49" t="str">
        <f aca="false">IF(OR(A9="",N(B9)=0),"",MIN(1,N(C9)/B9))</f>
        <v/>
      </c>
      <c r="G9" s="50" t="str">
        <f aca="false">IF(A9="","",IF(E9=0,0,IF(N(D9)&lt;=0,"Rate fehlt",ROUNDUP(E9/D9,0))))</f>
        <v/>
      </c>
      <c r="H9" s="51" t="str">
        <f aca="true">IF(ISNUMBER(G9),IF(G9=0,"erreicht!",EDATE(TODAY(),G9)),"")</f>
        <v/>
      </c>
    </row>
    <row r="10" customFormat="false" ht="15" hidden="false" customHeight="false" outlineLevel="0" collapsed="false">
      <c r="A10" s="30"/>
      <c r="B10" s="31"/>
      <c r="C10" s="31"/>
      <c r="D10" s="31"/>
      <c r="E10" s="39" t="str">
        <f aca="false">IF(A10="","",MAX(0,N(B10)-N(C10)))</f>
        <v/>
      </c>
      <c r="F10" s="49" t="str">
        <f aca="false">IF(OR(A10="",N(B10)=0),"",MIN(1,N(C10)/B10))</f>
        <v/>
      </c>
      <c r="G10" s="50" t="str">
        <f aca="false">IF(A10="","",IF(E10=0,0,IF(N(D10)&lt;=0,"Rate fehlt",ROUNDUP(E10/D10,0))))</f>
        <v/>
      </c>
      <c r="H10" s="51" t="str">
        <f aca="true">IF(ISNUMBER(G10),IF(G10=0,"erreicht!",EDATE(TODAY(),G10)),"")</f>
        <v/>
      </c>
    </row>
    <row r="11" customFormat="false" ht="15" hidden="false" customHeight="false" outlineLevel="0" collapsed="false">
      <c r="A11" s="30"/>
      <c r="B11" s="31"/>
      <c r="C11" s="31"/>
      <c r="D11" s="31"/>
      <c r="E11" s="39" t="str">
        <f aca="false">IF(A11="","",MAX(0,N(B11)-N(C11)))</f>
        <v/>
      </c>
      <c r="F11" s="49" t="str">
        <f aca="false">IF(OR(A11="",N(B11)=0),"",MIN(1,N(C11)/B11))</f>
        <v/>
      </c>
      <c r="G11" s="50" t="str">
        <f aca="false">IF(A11="","",IF(E11=0,0,IF(N(D11)&lt;=0,"Rate fehlt",ROUNDUP(E11/D11,0))))</f>
        <v/>
      </c>
      <c r="H11" s="51" t="str">
        <f aca="true">IF(ISNUMBER(G11),IF(G11=0,"erreicht!",EDATE(TODAY(),G11)),"")</f>
        <v/>
      </c>
    </row>
    <row r="12" customFormat="false" ht="15" hidden="false" customHeight="false" outlineLevel="0" collapsed="false">
      <c r="A12" s="30"/>
      <c r="B12" s="31"/>
      <c r="C12" s="31"/>
      <c r="D12" s="31"/>
      <c r="E12" s="39" t="str">
        <f aca="false">IF(A12="","",MAX(0,N(B12)-N(C12)))</f>
        <v/>
      </c>
      <c r="F12" s="49" t="str">
        <f aca="false">IF(OR(A12="",N(B12)=0),"",MIN(1,N(C12)/B12))</f>
        <v/>
      </c>
      <c r="G12" s="50" t="str">
        <f aca="false">IF(A12="","",IF(E12=0,0,IF(N(D12)&lt;=0,"Rate fehlt",ROUNDUP(E12/D12,0))))</f>
        <v/>
      </c>
      <c r="H12" s="51" t="str">
        <f aca="true">IF(ISNUMBER(G12),IF(G12=0,"erreicht!",EDATE(TODAY(),G12)),"")</f>
        <v/>
      </c>
    </row>
    <row r="13" customFormat="false" ht="15" hidden="false" customHeight="false" outlineLevel="0" collapsed="false">
      <c r="A13" s="30"/>
      <c r="B13" s="31"/>
      <c r="C13" s="31"/>
      <c r="D13" s="31"/>
      <c r="E13" s="39" t="str">
        <f aca="false">IF(A13="","",MAX(0,N(B13)-N(C13)))</f>
        <v/>
      </c>
      <c r="F13" s="49" t="str">
        <f aca="false">IF(OR(A13="",N(B13)=0),"",MIN(1,N(C13)/B13))</f>
        <v/>
      </c>
      <c r="G13" s="50" t="str">
        <f aca="false">IF(A13="","",IF(E13=0,0,IF(N(D13)&lt;=0,"Rate fehlt",ROUNDUP(E13/D13,0))))</f>
        <v/>
      </c>
      <c r="H13" s="51" t="str">
        <f aca="true">IF(ISNUMBER(G13),IF(G13=0,"erreicht!",EDATE(TODAY(),G13)),"")</f>
        <v/>
      </c>
    </row>
    <row r="14" customFormat="false" ht="15" hidden="false" customHeight="false" outlineLevel="0" collapsed="false">
      <c r="A14" s="30"/>
      <c r="B14" s="31"/>
      <c r="C14" s="31"/>
      <c r="D14" s="31"/>
      <c r="E14" s="39" t="str">
        <f aca="false">IF(A14="","",MAX(0,N(B14)-N(C14)))</f>
        <v/>
      </c>
      <c r="F14" s="49" t="str">
        <f aca="false">IF(OR(A14="",N(B14)=0),"",MIN(1,N(C14)/B14))</f>
        <v/>
      </c>
      <c r="G14" s="50" t="str">
        <f aca="false">IF(A14="","",IF(E14=0,0,IF(N(D14)&lt;=0,"Rate fehlt",ROUNDUP(E14/D14,0))))</f>
        <v/>
      </c>
      <c r="H14" s="51" t="str">
        <f aca="true">IF(ISNUMBER(G14),IF(G14=0,"erreicht!",EDATE(TODAY(),G14)),"")</f>
        <v/>
      </c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</row>
    <row r="16" customFormat="false" ht="15" hidden="false" customHeight="false" outlineLevel="0" collapsed="false">
      <c r="A16" s="52" t="s">
        <v>58</v>
      </c>
      <c r="B16" s="53" t="n">
        <f aca="false">SUM(B5:B14)</f>
        <v>3000</v>
      </c>
      <c r="C16" s="53" t="n">
        <f aca="false">SUM(C5:C14)</f>
        <v>0</v>
      </c>
      <c r="D16" s="53" t="n">
        <f aca="false">SUM(D5:D14)</f>
        <v>100</v>
      </c>
      <c r="E16" s="53" t="n">
        <f aca="false">SUM(E5:E14)</f>
        <v>3000</v>
      </c>
      <c r="F16" s="52"/>
      <c r="G16" s="52"/>
      <c r="H16" s="52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</row>
    <row r="18" customFormat="false" ht="15" hidden="false" customHeight="false" outlineLevel="0" collapsed="false">
      <c r="A18" s="14" t="s">
        <v>118</v>
      </c>
      <c r="B18" s="1"/>
      <c r="C18" s="1"/>
      <c r="D18" s="1"/>
      <c r="E18" s="1"/>
      <c r="F18" s="1"/>
      <c r="G18" s="1"/>
      <c r="H18" s="1"/>
    </row>
  </sheetData>
  <conditionalFormatting sqref="F5:F14">
    <cfRule type="dataBar" priority="2">
      <dataBar showValue="1" minLength="10" maxLength="90">
        <cfvo type="num" val="0"/>
        <cfvo type="num" val="1"/>
        <color rgb="FF5FA35F"/>
      </dataBar>
      <extLst>
        <ext xmlns:x14="http://schemas.microsoft.com/office/spreadsheetml/2009/9/main" uri="{B025F937-C7B1-47D3-B67F-A62EFF666E3E}">
          <x14:id>{20FB24E2-2241-4F56-A3F8-A1FCC91A3BE5}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FB24E2-2241-4F56-A3F8-A1FCC91A3BE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FA35F"/>
              <x14:axisColor rgb="FF000000"/>
            </x14:dataBar>
          </x14:cfRule>
          <xm:sqref>F5:F14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2318"/>
    <pageSetUpPr fitToPage="tru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6" min="5" style="0" width="17"/>
    <col collapsed="false" customWidth="true" hidden="false" outlineLevel="0" max="7" min="7" style="0" width="18"/>
  </cols>
  <sheetData>
    <row r="1" customFormat="false" ht="30" hidden="false" customHeight="true" outlineLevel="0" collapsed="false">
      <c r="A1" s="28" t="s">
        <v>119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6" t="s">
        <v>120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30" hidden="false" customHeight="true" outlineLevel="0" collapsed="false">
      <c r="A4" s="25" t="s">
        <v>121</v>
      </c>
      <c r="B4" s="25" t="s">
        <v>122</v>
      </c>
      <c r="C4" s="25" t="s">
        <v>123</v>
      </c>
      <c r="D4" s="25" t="s">
        <v>124</v>
      </c>
      <c r="E4" s="25" t="s">
        <v>125</v>
      </c>
      <c r="F4" s="25" t="s">
        <v>126</v>
      </c>
      <c r="G4" s="25" t="s">
        <v>127</v>
      </c>
    </row>
    <row r="5" customFormat="false" ht="15" hidden="false" customHeight="false" outlineLevel="0" collapsed="false">
      <c r="A5" s="30" t="s">
        <v>128</v>
      </c>
      <c r="B5" s="31" t="n">
        <v>500</v>
      </c>
      <c r="C5" s="54" t="n">
        <v>0.129</v>
      </c>
      <c r="D5" s="31" t="n">
        <v>50</v>
      </c>
      <c r="E5" s="50" t="n">
        <f aca="false">IF(A5="","",IF(N(B5)&lt;=0,0,IF(N(D5)&lt;=0,"Rate fehlt",IF(N(C5)=0,ROUNDUP(B5/D5,0),IF(D5&lt;=B5*C5/12,"Rate zu niedrig",ROUNDUP(NPER(C5/12,-D5,B5),0))))))</f>
        <v>11</v>
      </c>
      <c r="F5" s="51" t="n">
        <f aca="true">IF(ISNUMBER(E5),IF(E5=0,"schuldenfrei!",EDATE(TODAY(),E5)),"")</f>
        <v>46654</v>
      </c>
      <c r="G5" s="39" t="n">
        <f aca="false">IF(ISNUMBER(E5),IF(OR(E5=0,N(C5)=0),0,D5*NPER(C5/12,-D5,B5)-B5),"")</f>
        <v>31.8091537552252</v>
      </c>
    </row>
    <row r="6" customFormat="false" ht="15" hidden="false" customHeight="false" outlineLevel="0" collapsed="false">
      <c r="A6" s="30"/>
      <c r="B6" s="31"/>
      <c r="C6" s="54"/>
      <c r="D6" s="31"/>
      <c r="E6" s="50" t="str">
        <f aca="false">IF(A6="","",IF(N(B6)&lt;=0,0,IF(N(D6)&lt;=0,"Rate fehlt",IF(N(C6)=0,ROUNDUP(B6/D6,0),IF(D6&lt;=B6*C6/12,"Rate zu niedrig",ROUNDUP(NPER(C6/12,-D6,B6),0))))))</f>
        <v/>
      </c>
      <c r="F6" s="51" t="str">
        <f aca="true">IF(ISNUMBER(E6),IF(E6=0,"schuldenfrei!",EDATE(TODAY(),E6)),"")</f>
        <v/>
      </c>
      <c r="G6" s="39" t="str">
        <f aca="false">IF(ISNUMBER(E6),IF(OR(E6=0,N(C6)=0),0,D6*NPER(C6/12,-D6,B6)-B6),"")</f>
        <v/>
      </c>
    </row>
    <row r="7" customFormat="false" ht="15" hidden="false" customHeight="false" outlineLevel="0" collapsed="false">
      <c r="A7" s="30"/>
      <c r="B7" s="31"/>
      <c r="C7" s="54"/>
      <c r="D7" s="31"/>
      <c r="E7" s="50" t="str">
        <f aca="false">IF(A7="","",IF(N(B7)&lt;=0,0,IF(N(D7)&lt;=0,"Rate fehlt",IF(N(C7)=0,ROUNDUP(B7/D7,0),IF(D7&lt;=B7*C7/12,"Rate zu niedrig",ROUNDUP(NPER(C7/12,-D7,B7),0))))))</f>
        <v/>
      </c>
      <c r="F7" s="51" t="str">
        <f aca="true">IF(ISNUMBER(E7),IF(E7=0,"schuldenfrei!",EDATE(TODAY(),E7)),"")</f>
        <v/>
      </c>
      <c r="G7" s="39" t="str">
        <f aca="false">IF(ISNUMBER(E7),IF(OR(E7=0,N(C7)=0),0,D7*NPER(C7/12,-D7,B7)-B7),"")</f>
        <v/>
      </c>
    </row>
    <row r="8" customFormat="false" ht="15" hidden="false" customHeight="false" outlineLevel="0" collapsed="false">
      <c r="A8" s="30"/>
      <c r="B8" s="31"/>
      <c r="C8" s="54"/>
      <c r="D8" s="31"/>
      <c r="E8" s="50" t="str">
        <f aca="false">IF(A8="","",IF(N(B8)&lt;=0,0,IF(N(D8)&lt;=0,"Rate fehlt",IF(N(C8)=0,ROUNDUP(B8/D8,0),IF(D8&lt;=B8*C8/12,"Rate zu niedrig",ROUNDUP(NPER(C8/12,-D8,B8),0))))))</f>
        <v/>
      </c>
      <c r="F8" s="51" t="str">
        <f aca="true">IF(ISNUMBER(E8),IF(E8=0,"schuldenfrei!",EDATE(TODAY(),E8)),"")</f>
        <v/>
      </c>
      <c r="G8" s="39" t="str">
        <f aca="false">IF(ISNUMBER(E8),IF(OR(E8=0,N(C8)=0),0,D8*NPER(C8/12,-D8,B8)-B8),"")</f>
        <v/>
      </c>
    </row>
    <row r="9" customFormat="false" ht="15" hidden="false" customHeight="false" outlineLevel="0" collapsed="false">
      <c r="A9" s="30"/>
      <c r="B9" s="31"/>
      <c r="C9" s="54"/>
      <c r="D9" s="31"/>
      <c r="E9" s="50" t="str">
        <f aca="false">IF(A9="","",IF(N(B9)&lt;=0,0,IF(N(D9)&lt;=0,"Rate fehlt",IF(N(C9)=0,ROUNDUP(B9/D9,0),IF(D9&lt;=B9*C9/12,"Rate zu niedrig",ROUNDUP(NPER(C9/12,-D9,B9),0))))))</f>
        <v/>
      </c>
      <c r="F9" s="51" t="str">
        <f aca="true">IF(ISNUMBER(E9),IF(E9=0,"schuldenfrei!",EDATE(TODAY(),E9)),"")</f>
        <v/>
      </c>
      <c r="G9" s="39" t="str">
        <f aca="false">IF(ISNUMBER(E9),IF(OR(E9=0,N(C9)=0),0,D9*NPER(C9/12,-D9,B9)-B9),"")</f>
        <v/>
      </c>
    </row>
    <row r="10" customFormat="false" ht="15" hidden="false" customHeight="false" outlineLevel="0" collapsed="false">
      <c r="A10" s="30"/>
      <c r="B10" s="31"/>
      <c r="C10" s="54"/>
      <c r="D10" s="31"/>
      <c r="E10" s="50" t="str">
        <f aca="false">IF(A10="","",IF(N(B10)&lt;=0,0,IF(N(D10)&lt;=0,"Rate fehlt",IF(N(C10)=0,ROUNDUP(B10/D10,0),IF(D10&lt;=B10*C10/12,"Rate zu niedrig",ROUNDUP(NPER(C10/12,-D10,B10),0))))))</f>
        <v/>
      </c>
      <c r="F10" s="51" t="str">
        <f aca="true">IF(ISNUMBER(E10),IF(E10=0,"schuldenfrei!",EDATE(TODAY(),E10)),"")</f>
        <v/>
      </c>
      <c r="G10" s="39" t="str">
        <f aca="false">IF(ISNUMBER(E10),IF(OR(E10=0,N(C10)=0),0,D10*NPER(C10/12,-D10,B10)-B10),"")</f>
        <v/>
      </c>
    </row>
    <row r="11" customFormat="false" ht="15" hidden="false" customHeight="false" outlineLevel="0" collapsed="false">
      <c r="A11" s="30"/>
      <c r="B11" s="31"/>
      <c r="C11" s="54"/>
      <c r="D11" s="31"/>
      <c r="E11" s="50" t="str">
        <f aca="false">IF(A11="","",IF(N(B11)&lt;=0,0,IF(N(D11)&lt;=0,"Rate fehlt",IF(N(C11)=0,ROUNDUP(B11/D11,0),IF(D11&lt;=B11*C11/12,"Rate zu niedrig",ROUNDUP(NPER(C11/12,-D11,B11),0))))))</f>
        <v/>
      </c>
      <c r="F11" s="51" t="str">
        <f aca="true">IF(ISNUMBER(E11),IF(E11=0,"schuldenfrei!",EDATE(TODAY(),E11)),"")</f>
        <v/>
      </c>
      <c r="G11" s="39" t="str">
        <f aca="false">IF(ISNUMBER(E11),IF(OR(E11=0,N(C11)=0),0,D11*NPER(C11/12,-D11,B11)-B11),"")</f>
        <v/>
      </c>
    </row>
    <row r="12" customFormat="false" ht="15" hidden="false" customHeight="false" outlineLevel="0" collapsed="false">
      <c r="A12" s="30"/>
      <c r="B12" s="31"/>
      <c r="C12" s="54"/>
      <c r="D12" s="31"/>
      <c r="E12" s="50" t="str">
        <f aca="false">IF(A12="","",IF(N(B12)&lt;=0,0,IF(N(D12)&lt;=0,"Rate fehlt",IF(N(C12)=0,ROUNDUP(B12/D12,0),IF(D12&lt;=B12*C12/12,"Rate zu niedrig",ROUNDUP(NPER(C12/12,-D12,B12),0))))))</f>
        <v/>
      </c>
      <c r="F12" s="51" t="str">
        <f aca="true">IF(ISNUMBER(E12),IF(E12=0,"schuldenfrei!",EDATE(TODAY(),E12)),"")</f>
        <v/>
      </c>
      <c r="G12" s="39" t="str">
        <f aca="false">IF(ISNUMBER(E12),IF(OR(E12=0,N(C12)=0),0,D12*NPER(C12/12,-D12,B12)-B12),"")</f>
        <v/>
      </c>
    </row>
    <row r="13" customFormat="false" ht="15" hidden="false" customHeight="false" outlineLevel="0" collapsed="false">
      <c r="A13" s="30"/>
      <c r="B13" s="31"/>
      <c r="C13" s="54"/>
      <c r="D13" s="31"/>
      <c r="E13" s="50" t="str">
        <f aca="false">IF(A13="","",IF(N(B13)&lt;=0,0,IF(N(D13)&lt;=0,"Rate fehlt",IF(N(C13)=0,ROUNDUP(B13/D13,0),IF(D13&lt;=B13*C13/12,"Rate zu niedrig",ROUNDUP(NPER(C13/12,-D13,B13),0))))))</f>
        <v/>
      </c>
      <c r="F13" s="51" t="str">
        <f aca="true">IF(ISNUMBER(E13),IF(E13=0,"schuldenfrei!",EDATE(TODAY(),E13)),"")</f>
        <v/>
      </c>
      <c r="G13" s="39" t="str">
        <f aca="false">IF(ISNUMBER(E13),IF(OR(E13=0,N(C13)=0),0,D13*NPER(C13/12,-D13,B13)-B13),"")</f>
        <v/>
      </c>
    </row>
    <row r="14" customFormat="false" ht="15" hidden="false" customHeight="false" outlineLevel="0" collapsed="false">
      <c r="A14" s="30"/>
      <c r="B14" s="31"/>
      <c r="C14" s="54"/>
      <c r="D14" s="31"/>
      <c r="E14" s="50" t="str">
        <f aca="false">IF(A14="","",IF(N(B14)&lt;=0,0,IF(N(D14)&lt;=0,"Rate fehlt",IF(N(C14)=0,ROUNDUP(B14/D14,0),IF(D14&lt;=B14*C14/12,"Rate zu niedrig",ROUNDUP(NPER(C14/12,-D14,B14),0))))))</f>
        <v/>
      </c>
      <c r="F14" s="51" t="str">
        <f aca="true">IF(ISNUMBER(E14),IF(E14=0,"schuldenfrei!",EDATE(TODAY(),E14)),"")</f>
        <v/>
      </c>
      <c r="G14" s="39" t="str">
        <f aca="false">IF(ISNUMBER(E14),IF(OR(E14=0,N(C14)=0),0,D14*NPER(C14/12,-D14,B14)-B14),"")</f>
        <v/>
      </c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</row>
    <row r="16" customFormat="false" ht="15" hidden="false" customHeight="false" outlineLevel="0" collapsed="false">
      <c r="A16" s="52" t="s">
        <v>58</v>
      </c>
      <c r="B16" s="53" t="n">
        <f aca="false">SUM(B5:B14)</f>
        <v>500</v>
      </c>
      <c r="C16" s="52"/>
      <c r="D16" s="53" t="n">
        <f aca="false">SUM(D5:D14)</f>
        <v>50</v>
      </c>
      <c r="E16" s="55" t="n">
        <f aca="false">IF(COUNT(E5:E14)=0,"",MAX(E5:E14))</f>
        <v>11</v>
      </c>
      <c r="F16" s="52"/>
      <c r="G16" s="53" t="n">
        <f aca="false">SUM(G5:G14)</f>
        <v>31.8091537552252</v>
      </c>
    </row>
    <row r="17" customFormat="false" ht="15" hidden="false" customHeight="false" outlineLevel="0" collapsed="false">
      <c r="A17" s="1"/>
      <c r="B17" s="1"/>
      <c r="C17" s="1"/>
      <c r="D17" s="1"/>
      <c r="E17" s="56" t="s">
        <v>129</v>
      </c>
      <c r="F17" s="1"/>
      <c r="G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</row>
    <row r="19" customFormat="false" ht="15" hidden="false" customHeight="false" outlineLevel="0" collapsed="false">
      <c r="A19" s="14" t="s">
        <v>130</v>
      </c>
      <c r="B19" s="1"/>
      <c r="C19" s="1"/>
      <c r="D19" s="1"/>
      <c r="E19" s="1"/>
      <c r="F19" s="1"/>
      <c r="G19" s="1"/>
    </row>
    <row r="20" customFormat="false" ht="15" hidden="false" customHeight="false" outlineLevel="0" collapsed="false">
      <c r="A20" s="14" t="s">
        <v>131</v>
      </c>
      <c r="B20" s="1"/>
      <c r="C20" s="1"/>
      <c r="D20" s="1"/>
      <c r="E20" s="1"/>
      <c r="F20" s="1"/>
      <c r="G20" s="1"/>
    </row>
  </sheetData>
  <conditionalFormatting sqref="E5:E14">
    <cfRule type="expression" priority="2" aboveAverage="0" equalAverage="0" bottom="0" percent="0" rank="0" text="" dxfId="0">
      <formula>ISTEXT(E5)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2026-10-24T02:02:17Z</dcterms:created>
  <dc:creator>Finanzplaner</dc:creator>
  <dc:description/>
  <dc:language>en-US</dc:language>
  <cp:lastModifiedBy/>
  <dcterms:modified xsi:type="dcterms:W3CDTF">2026-10-24T02:02:22Z</dcterms:modified>
  <cp:revision>1</cp:revision>
  <dc:subject/>
  <dc:title>Finanzplaner 2027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